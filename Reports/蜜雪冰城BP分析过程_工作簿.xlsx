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README" sheetId="1" state="visible" r:id="rId1"/>
    <sheet xmlns:r="http://schemas.openxmlformats.org/officeDocument/2006/relationships" name="1_行业与市场" sheetId="2" state="visible" r:id="rId2"/>
    <sheet xmlns:r="http://schemas.openxmlformats.org/officeDocument/2006/relationships" name="2_收入结构" sheetId="3" state="visible" r:id="rId3"/>
    <sheet xmlns:r="http://schemas.openxmlformats.org/officeDocument/2006/relationships" name="3_13周CF" sheetId="4" state="visible" r:id="rId4"/>
    <sheet xmlns:r="http://schemas.openxmlformats.org/officeDocument/2006/relationships" name="4_单店UE" sheetId="5" state="visible" r:id="rId5"/>
    <sheet xmlns:r="http://schemas.openxmlformats.org/officeDocument/2006/relationships" name="5_PL_Bridge" sheetId="6" state="visible" r:id="rId6"/>
    <sheet xmlns:r="http://schemas.openxmlformats.org/officeDocument/2006/relationships" name="6_加盟商盈亏" sheetId="7" state="visible" r:id="rId7"/>
    <sheet xmlns:r="http://schemas.openxmlformats.org/officeDocument/2006/relationships" name="7_FY26情景" sheetId="8" state="visible" r:id="rId8"/>
    <sheet xmlns:r="http://schemas.openxmlformats.org/officeDocument/2006/relationships" name="8_问题诊断与建议" sheetId="9" state="visible" r:id="rId9"/>
    <sheet xmlns:r="http://schemas.openxmlformats.org/officeDocument/2006/relationships" name="9_监控KPI" sheetId="10" state="visible" r:id="rId10"/>
    <sheet xmlns:r="http://schemas.openxmlformats.org/officeDocument/2006/relationships" name="10_口径与假设" sheetId="11" state="visible" r:id="rId11"/>
    <sheet xmlns:r="http://schemas.openxmlformats.org/officeDocument/2006/relationships" name="11_数据源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;-0.0"/>
    <numFmt numFmtId="165" formatCode="+0.0;-0.0"/>
    <numFmt numFmtId="166" formatCode="0.0"/>
    <numFmt numFmtId="167" formatCode="+#,##0.0;-#,##0.0"/>
    <numFmt numFmtId="168" formatCode="#,##0;-#,##0"/>
    <numFmt numFmtId="169" formatCode="+0.0;-0.0;0"/>
    <numFmt numFmtId="170" formatCode="0.0%"/>
    <numFmt numFmtId="171" formatCode="#,##0.0"/>
    <numFmt numFmtId="172" formatCode="+0.0"/>
    <numFmt numFmtId="173" formatCode="+0.0%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64748B"/>
      <sz val="9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047857"/>
      <sz val="10"/>
    </font>
    <font>
      <name val="Calibri"/>
      <b val="1"/>
      <color rgb="00B45309"/>
      <sz val="10"/>
    </font>
    <font>
      <name val="Calibri"/>
      <b val="1"/>
      <color rgb="001E3A8A"/>
      <sz val="10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B91C1C"/>
      <sz val="10"/>
    </font>
  </fonts>
  <fills count="11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1E293B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0" borderId="0" pivotButton="0" quotePrefix="0" xfId="0"/>
    <xf numFmtId="0" fontId="0" fillId="5" borderId="1" pivotButton="0" quotePrefix="0" xfId="0"/>
    <xf numFmtId="0" fontId="0" fillId="6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 wrapText="1" indent="1"/>
    </xf>
    <xf numFmtId="0" fontId="3" fillId="3" borderId="0" applyAlignment="1" pivotButton="0" quotePrefix="0" xfId="0">
      <alignment horizontal="left" vertical="center" indent="1"/>
    </xf>
    <xf numFmtId="4" fontId="4" fillId="8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 wrapText="1"/>
    </xf>
    <xf numFmtId="4" fontId="4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right" vertical="center"/>
    </xf>
    <xf numFmtId="166" fontId="3" fillId="6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 wrapText="1"/>
    </xf>
    <xf numFmtId="167" fontId="3" fillId="5" borderId="1" applyAlignment="1" pivotButton="0" quotePrefix="0" xfId="0">
      <alignment horizontal="right" vertical="center"/>
    </xf>
    <xf numFmtId="0" fontId="9" fillId="6" borderId="0" applyAlignment="1" pivotButton="0" quotePrefix="0" xfId="0">
      <alignment horizontal="left" vertical="center" wrapText="1" indent="1"/>
    </xf>
    <xf numFmtId="1" fontId="4" fillId="4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right" vertical="center"/>
    </xf>
    <xf numFmtId="3" fontId="3" fillId="6" borderId="1" applyAlignment="1" pivotButton="0" quotePrefix="0" xfId="0">
      <alignment horizontal="right" vertical="center"/>
    </xf>
    <xf numFmtId="168" fontId="4" fillId="4" borderId="1" applyAlignment="1" pivotButton="0" quotePrefix="0" xfId="0">
      <alignment horizontal="right" vertical="center"/>
    </xf>
    <xf numFmtId="168" fontId="4" fillId="5" borderId="1" applyAlignment="1" pivotButton="0" quotePrefix="0" xfId="0">
      <alignment horizontal="right" vertical="center"/>
    </xf>
    <xf numFmtId="168" fontId="3" fillId="6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right" vertical="center"/>
    </xf>
    <xf numFmtId="169" fontId="3" fillId="3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169" fontId="3" fillId="5" borderId="1" applyAlignment="1" pivotButton="0" quotePrefix="0" xfId="0">
      <alignment horizontal="right" vertical="center"/>
    </xf>
    <xf numFmtId="169" fontId="3" fillId="9" borderId="1" applyAlignment="1" pivotButton="0" quotePrefix="0" xfId="0">
      <alignment horizontal="right" vertical="center"/>
    </xf>
    <xf numFmtId="170" fontId="3" fillId="6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left" vertical="center" wrapText="1"/>
    </xf>
    <xf numFmtId="1" fontId="4" fillId="5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171" fontId="3" fillId="6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172" fontId="4" fillId="8" borderId="1" applyAlignment="1" pivotButton="0" quotePrefix="0" xfId="0">
      <alignment horizontal="right" vertical="center"/>
    </xf>
    <xf numFmtId="173" fontId="4" fillId="8" borderId="1" applyAlignment="1" pivotButton="0" quotePrefix="0" xfId="0">
      <alignment horizontal="right" vertical="center"/>
    </xf>
    <xf numFmtId="172" fontId="3" fillId="6" borderId="1" applyAlignment="1" pivotButton="0" quotePrefix="0" xfId="0">
      <alignment horizontal="right" vertical="center"/>
    </xf>
    <xf numFmtId="173" fontId="3" fillId="6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1_&#34892;&#19994;&#19982;&#24066;&#22330;'!A1" TargetMode="External" Id="rId1"/><Relationship Type="http://schemas.openxmlformats.org/officeDocument/2006/relationships/hyperlink" Target="#'2_&#25910;&#20837;&#32467;&#26500;'!A1" TargetMode="External" Id="rId2"/><Relationship Type="http://schemas.openxmlformats.org/officeDocument/2006/relationships/hyperlink" Target="#'3_13&#21608;CF'!A1" TargetMode="External" Id="rId3"/><Relationship Type="http://schemas.openxmlformats.org/officeDocument/2006/relationships/hyperlink" Target="#'4_&#21333;&#24215;UE'!A1" TargetMode="External" Id="rId4"/><Relationship Type="http://schemas.openxmlformats.org/officeDocument/2006/relationships/hyperlink" Target="#'5_PL_Bridge'!A1" TargetMode="External" Id="rId5"/><Relationship Type="http://schemas.openxmlformats.org/officeDocument/2006/relationships/hyperlink" Target="#'6_&#21152;&#30431;&#21830;&#30408;&#20111;'!A1" TargetMode="External" Id="rId6"/><Relationship Type="http://schemas.openxmlformats.org/officeDocument/2006/relationships/hyperlink" Target="#'7_FY26&#24773;&#26223;'!A1" TargetMode="External" Id="rId7"/><Relationship Type="http://schemas.openxmlformats.org/officeDocument/2006/relationships/hyperlink" Target="#'8_&#38382;&#39064;&#35786;&#26029;&#19982;&#24314;&#35758;'!A1" TargetMode="External" Id="rId8"/><Relationship Type="http://schemas.openxmlformats.org/officeDocument/2006/relationships/hyperlink" Target="#'9_&#30417;&#25511;KPI'!A1" TargetMode="External" Id="rId9"/><Relationship Type="http://schemas.openxmlformats.org/officeDocument/2006/relationships/hyperlink" Target="#'10_&#21475;&#24452;&#19982;&#20551;&#35774;'!A1" TargetMode="External" Id="rId10"/><Relationship Type="http://schemas.openxmlformats.org/officeDocument/2006/relationships/hyperlink" Target="#'11_&#25968;&#25454;&#28304;'!A1" TargetMode="External" Id="rId11"/></Relationships>
</file>

<file path=xl/worksheets/_rels/sheet12.xml.rels><Relationships xmlns="http://schemas.openxmlformats.org/package/2006/relationships"><Relationship Type="http://schemas.openxmlformats.org/officeDocument/2006/relationships/hyperlink" Target="https://www1.hkexnews.hk/" TargetMode="External" Id="rId1"/><Relationship Type="http://schemas.openxmlformats.org/officeDocument/2006/relationships/hyperlink" Target="https://ir.mxbc.com" TargetMode="External" Id="rId2"/><Relationship Type="http://schemas.openxmlformats.org/officeDocument/2006/relationships/hyperlink" Target="https://www1.hkexnews.hk/" TargetMode="External" Id="rId3"/><Relationship Type="http://schemas.openxmlformats.org/officeDocument/2006/relationships/hyperlink" Target="https://www1.hkexnews.hk/" TargetMode="External" Id="rId4"/><Relationship Type="http://schemas.openxmlformats.org/officeDocument/2006/relationships/hyperlink" Target="http://www.stats.gov.cn/" TargetMode="External" Id="rId5"/><Relationship Type="http://schemas.openxmlformats.org/officeDocument/2006/relationships/hyperlink" Target="https://xueqiu.com/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6" customHeight="1">
      <c r="A1" s="1" t="inlineStr">
        <is>
          <t>蜜雪冰城（2097.HK）BP分析过程工作簿</t>
        </is>
      </c>
    </row>
    <row r="2" ht="22" customHeight="1">
      <c r="A2" s="2" t="inlineStr">
        <is>
          <t>口径：FY21/22/23 + 9M2024  |  来源：港交所招股书  |  编制：王静 Jennie  |  日期：2026.05  |  v1.0</t>
        </is>
      </c>
    </row>
    <row r="4" ht="36" customHeight="1">
      <c r="A4" s="3" t="inlineStr">
        <is>
          <t>目的</t>
        </is>
      </c>
      <c r="B4" s="4" t="inlineStr">
        <is>
          <t>为同名 Word 分析报告提供所有计算明细。Word 与 Excel 数字完全一致；如有不一致以本工作簿为准。</t>
        </is>
      </c>
    </row>
    <row r="6">
      <c r="A6" s="3" t="inlineStr">
        <is>
          <t>颜色约定（必读）</t>
        </is>
      </c>
    </row>
    <row r="7">
      <c r="A7" s="5" t="inlineStr">
        <is>
          <t xml:space="preserve"> </t>
        </is>
      </c>
      <c r="B7" s="6" t="inlineStr">
        <is>
          <t>浅蓝底 = 输入/假设单元格（可修改测试敏感性）</t>
        </is>
      </c>
    </row>
    <row r="8">
      <c r="A8" s="7" t="inlineStr">
        <is>
          <t xml:space="preserve"> </t>
        </is>
      </c>
      <c r="B8" s="6" t="inlineStr">
        <is>
          <t>浅绿底 = 计算结果（公式自动生成）</t>
        </is>
      </c>
    </row>
    <row r="9">
      <c r="A9" s="8" t="inlineStr">
        <is>
          <t xml:space="preserve"> </t>
        </is>
      </c>
      <c r="B9" s="6" t="inlineStr">
        <is>
          <t>浅黄底 = 关键 BP 监控指标</t>
        </is>
      </c>
    </row>
    <row r="11">
      <c r="A11" s="3" t="inlineStr">
        <is>
          <t>数据可信度</t>
        </is>
      </c>
    </row>
    <row r="12">
      <c r="A12" s="9" t="inlineStr">
        <is>
          <t>●</t>
        </is>
      </c>
      <c r="B12" s="6" t="inlineStr">
        <is>
          <t>招股书披露口径</t>
        </is>
      </c>
    </row>
    <row r="13">
      <c r="A13" s="10" t="inlineStr">
        <is>
          <t>⚠</t>
        </is>
      </c>
      <c r="B13" s="6" t="inlineStr">
        <is>
          <t>估算（带敏感性区间，详见 9_口径与假设）</t>
        </is>
      </c>
    </row>
    <row r="15">
      <c r="A15" s="3" t="inlineStr">
        <is>
          <t>工作表清单</t>
        </is>
      </c>
    </row>
    <row r="16">
      <c r="A16" s="11" t="inlineStr">
        <is>
          <t>1_行业与市场</t>
        </is>
      </c>
      <c r="B16" s="6" t="inlineStr">
        <is>
          <t>对应 Word 第 1 章 — 新茶饮行业与蜜雪定位</t>
        </is>
      </c>
    </row>
    <row r="17">
      <c r="A17" s="11" t="inlineStr">
        <is>
          <t>2_收入结构</t>
        </is>
      </c>
      <c r="B17" s="6" t="inlineStr">
        <is>
          <t>对应 Word 第 2 章 — 三大收入分项 + 毛利率</t>
        </is>
      </c>
    </row>
    <row r="18">
      <c r="A18" s="11" t="inlineStr">
        <is>
          <t>3_13周CF</t>
        </is>
      </c>
      <c r="B18" s="6" t="inlineStr">
        <is>
          <t>★ 对应 Word 第 3 章 — 13 周滚动现金流（核心）</t>
        </is>
      </c>
    </row>
    <row r="19">
      <c r="A19" s="11" t="inlineStr">
        <is>
          <t>4_单店UE</t>
        </is>
      </c>
      <c r="B19" s="6" t="inlineStr">
        <is>
          <t>★ 对应 Word 第 4 章 — 三档城市单店年化 P&amp;L</t>
        </is>
      </c>
    </row>
    <row r="20">
      <c r="A20" s="11" t="inlineStr">
        <is>
          <t>5_PL_Bridge</t>
        </is>
      </c>
      <c r="B20" s="6" t="inlineStr">
        <is>
          <t>★ 对应 Word 第 5 章 — 9M2024 营收 +33亿 归因</t>
        </is>
      </c>
    </row>
    <row r="21">
      <c r="A21" s="11" t="inlineStr">
        <is>
          <t>6_加盟商盈亏</t>
        </is>
      </c>
      <c r="B21" s="6" t="inlineStr">
        <is>
          <t>★ 对应 Word 第 6 章 — 不同租金下盈亏平衡日销</t>
        </is>
      </c>
    </row>
    <row r="22">
      <c r="A22" s="11" t="inlineStr">
        <is>
          <t>7_FY26情景</t>
        </is>
      </c>
      <c r="B22" s="6" t="inlineStr">
        <is>
          <t>对应 Word 第 7 章 — 三情景敏感性 + 弹性矩阵</t>
        </is>
      </c>
    </row>
    <row r="23">
      <c r="A23" s="11" t="inlineStr">
        <is>
          <t>8_问题诊断与建议</t>
        </is>
      </c>
      <c r="B23" s="6" t="inlineStr">
        <is>
          <t>对应 Word 第 8 章 — 5 大问题 + 量化四件套</t>
        </is>
      </c>
    </row>
    <row r="24">
      <c r="A24" s="11" t="inlineStr">
        <is>
          <t>9_监控KPI</t>
        </is>
      </c>
      <c r="B24" s="6" t="inlineStr">
        <is>
          <t>对应 Word 第 9 章 — 12 项连锁餐饮 KPI</t>
        </is>
      </c>
    </row>
    <row r="25">
      <c r="A25" s="11" t="inlineStr">
        <is>
          <t>10_口径与假设</t>
        </is>
      </c>
      <c r="B25" s="6" t="inlineStr">
        <is>
          <t>附录 A — 所有口径声明</t>
        </is>
      </c>
    </row>
    <row r="26">
      <c r="A26" s="11" t="inlineStr">
        <is>
          <t>11_数据源</t>
        </is>
      </c>
      <c r="B26" s="6" t="inlineStr">
        <is>
          <t>附录 B — 招股书页码 + 第三方</t>
        </is>
      </c>
    </row>
  </sheetData>
  <mergeCells count="3">
    <mergeCell ref="B4:F4"/>
    <mergeCell ref="A2:F2"/>
    <mergeCell ref="A1:F1"/>
  </mergeCells>
  <hyperlinks>
    <hyperlink xmlns:r="http://schemas.openxmlformats.org/officeDocument/2006/relationships" ref="A16" r:id="rId1"/>
    <hyperlink xmlns:r="http://schemas.openxmlformats.org/officeDocument/2006/relationships" ref="A17" r:id="rId2"/>
    <hyperlink xmlns:r="http://schemas.openxmlformats.org/officeDocument/2006/relationships" ref="A18" r:id="rId3"/>
    <hyperlink xmlns:r="http://schemas.openxmlformats.org/officeDocument/2006/relationships" ref="A19" r:id="rId4"/>
    <hyperlink xmlns:r="http://schemas.openxmlformats.org/officeDocument/2006/relationships" ref="A20" r:id="rId5"/>
    <hyperlink xmlns:r="http://schemas.openxmlformats.org/officeDocument/2006/relationships" ref="A21" r:id="rId6"/>
    <hyperlink xmlns:r="http://schemas.openxmlformats.org/officeDocument/2006/relationships" ref="A22" r:id="rId7"/>
    <hyperlink xmlns:r="http://schemas.openxmlformats.org/officeDocument/2006/relationships" ref="A23" r:id="rId8"/>
    <hyperlink xmlns:r="http://schemas.openxmlformats.org/officeDocument/2006/relationships" ref="A24" r:id="rId9"/>
    <hyperlink xmlns:r="http://schemas.openxmlformats.org/officeDocument/2006/relationships" ref="A25" r:id="rId10"/>
    <hyperlink xmlns:r="http://schemas.openxmlformats.org/officeDocument/2006/relationships" ref="A26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22" customWidth="1" min="4" max="4"/>
  </cols>
  <sheetData>
    <row r="1" ht="36" customHeight="1">
      <c r="A1" s="1" t="inlineStr">
        <is>
          <t>中国新茶饮行业与蜜雪市场地位</t>
        </is>
      </c>
    </row>
    <row r="2" ht="22" customHeight="1">
      <c r="A2" s="2" t="inlineStr">
        <is>
          <t>数据来源：招股书 P113-134（CIC 灼识咨询）</t>
        </is>
      </c>
    </row>
    <row r="4">
      <c r="A4" s="12" t="inlineStr">
        <is>
          <t>指标</t>
        </is>
      </c>
      <c r="B4" s="12" t="inlineStr">
        <is>
          <t>数值</t>
        </is>
      </c>
      <c r="C4" s="12" t="inlineStr">
        <is>
          <t>排名/份额</t>
        </is>
      </c>
      <c r="D4" s="12" t="inlineStr">
        <is>
          <t>数据来源</t>
        </is>
      </c>
    </row>
    <row r="5">
      <c r="A5" s="13" t="inlineStr">
        <is>
          <t>中国新茶饮 2021 零售额</t>
        </is>
      </c>
      <c r="B5" s="13" t="inlineStr">
        <is>
          <t>880 亿</t>
        </is>
      </c>
      <c r="C5" s="13" t="inlineStr">
        <is>
          <t>—</t>
        </is>
      </c>
      <c r="D5" s="13" t="inlineStr">
        <is>
          <t>● CIC</t>
        </is>
      </c>
    </row>
    <row r="6">
      <c r="A6" s="13" t="inlineStr">
        <is>
          <t>中国新茶饮 2022 零售额</t>
        </is>
      </c>
      <c r="B6" s="13" t="inlineStr">
        <is>
          <t>1,040 亿</t>
        </is>
      </c>
      <c r="C6" s="13" t="inlineStr">
        <is>
          <t>—</t>
        </is>
      </c>
      <c r="D6" s="13" t="inlineStr">
        <is>
          <t>● CIC</t>
        </is>
      </c>
    </row>
    <row r="7">
      <c r="A7" s="13" t="inlineStr">
        <is>
          <t>中国新茶饮 2023 零售额</t>
        </is>
      </c>
      <c r="B7" s="13" t="inlineStr">
        <is>
          <t>1,330 亿</t>
        </is>
      </c>
      <c r="C7" s="13" t="inlineStr">
        <is>
          <t>—</t>
        </is>
      </c>
      <c r="D7" s="13" t="inlineStr">
        <is>
          <t>● CIC</t>
        </is>
      </c>
    </row>
    <row r="8">
      <c r="A8" s="13" t="inlineStr">
        <is>
          <t>中国新茶饮 2024E 零售额</t>
        </is>
      </c>
      <c r="B8" s="13" t="inlineStr">
        <is>
          <t>1,620 亿</t>
        </is>
      </c>
      <c r="C8" s="13" t="inlineStr">
        <is>
          <t>—</t>
        </is>
      </c>
      <c r="D8" s="13" t="inlineStr">
        <is>
          <t>⚠ CIC 估算</t>
        </is>
      </c>
    </row>
    <row r="9">
      <c r="A9" s="13" t="inlineStr">
        <is>
          <t>中国新茶饮 2026E 零售额</t>
        </is>
      </c>
      <c r="B9" s="13" t="inlineStr">
        <is>
          <t>2,200 亿</t>
        </is>
      </c>
      <c r="C9" s="13" t="inlineStr">
        <is>
          <t>—</t>
        </is>
      </c>
      <c r="D9" s="13" t="inlineStr">
        <is>
          <t>⚠ CIC 估算</t>
        </is>
      </c>
    </row>
    <row r="10">
      <c r="A10" s="13" t="inlineStr">
        <is>
          <t>市场 CAGR (2023-2026E)</t>
        </is>
      </c>
      <c r="B10" s="13" t="inlineStr">
        <is>
          <t>+18.3%</t>
        </is>
      </c>
      <c r="C10" s="13" t="inlineStr">
        <is>
          <t>—</t>
        </is>
      </c>
      <c r="D10" s="13" t="inlineStr">
        <is>
          <t>⚠ 计算</t>
        </is>
      </c>
    </row>
    <row r="11">
      <c r="A11" s="13" t="inlineStr">
        <is>
          <t>蜜雪 2024.9 全球门店</t>
        </is>
      </c>
      <c r="B11" s="13" t="inlineStr">
        <is>
          <t>45,302</t>
        </is>
      </c>
      <c r="C11" s="13" t="inlineStr">
        <is>
          <t>全球第 1</t>
        </is>
      </c>
      <c r="D11" s="13" t="inlineStr">
        <is>
          <t>● 招股书</t>
        </is>
      </c>
    </row>
    <row r="12">
      <c r="A12" s="13" t="inlineStr">
        <is>
          <t>蜜雪 2023 中国份额(GMV)</t>
        </is>
      </c>
      <c r="B12" s="13" t="inlineStr">
        <is>
          <t>11.3%</t>
        </is>
      </c>
      <c r="C12" s="13" t="inlineStr">
        <is>
          <t>中国第 1</t>
        </is>
      </c>
      <c r="D12" s="13" t="inlineStr">
        <is>
          <t>● CIC</t>
        </is>
      </c>
    </row>
    <row r="13">
      <c r="A13" s="13" t="inlineStr">
        <is>
          <t>蜜雪 2023 全球份额(GMV)</t>
        </is>
      </c>
      <c r="B13" s="13" t="inlineStr">
        <is>
          <t>2.2%</t>
        </is>
      </c>
      <c r="C13" s="13" t="inlineStr">
        <is>
          <t>全球第 4</t>
        </is>
      </c>
      <c r="D13" s="13" t="inlineStr">
        <is>
          <t>● CIC</t>
        </is>
      </c>
    </row>
    <row r="14">
      <c r="A14" s="13" t="inlineStr">
        <is>
          <t>蜜雪 2023 全球杯量</t>
        </is>
      </c>
      <c r="B14" s="13" t="inlineStr">
        <is>
          <t>—</t>
        </is>
      </c>
      <c r="C14" s="13" t="inlineStr">
        <is>
          <t>全球第 2</t>
        </is>
      </c>
      <c r="D14" s="13" t="inlineStr">
        <is>
          <t>● CIC</t>
        </is>
      </c>
    </row>
    <row r="16" ht="60" customHeight="1">
      <c r="A16" s="14" t="inlineStr">
        <is>
          <t>💡 BP 行业判断：蜜雪在中国新茶饮的领先来自"极致性价比 + 自有供应链"，不是品牌溢价。BP 真问题：能否在不破坏低价心智的前提下，通过会员/海外/咖啡打开第二曲线？</t>
        </is>
      </c>
    </row>
  </sheetData>
  <mergeCells count="3">
    <mergeCell ref="A1:D1"/>
    <mergeCell ref="A16:D16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8" customWidth="1" min="7" max="7"/>
  </cols>
  <sheetData>
    <row r="1" ht="36" customHeight="1">
      <c r="A1" s="1" t="inlineStr">
        <is>
          <t>蜜雪集团收入结构（FY21–9M2024）</t>
        </is>
      </c>
    </row>
    <row r="2" ht="22" customHeight="1">
      <c r="A2" s="2" t="inlineStr">
        <is>
          <t>单位：亿元；口径：合并财务报表 / IFRS</t>
        </is>
      </c>
    </row>
    <row r="4">
      <c r="A4" s="12" t="inlineStr">
        <is>
          <t>科目</t>
        </is>
      </c>
      <c r="B4" s="12" t="inlineStr">
        <is>
          <t>FY21</t>
        </is>
      </c>
      <c r="C4" s="12" t="inlineStr">
        <is>
          <t>FY22</t>
        </is>
      </c>
      <c r="D4" s="12" t="inlineStr">
        <is>
          <t>FY23</t>
        </is>
      </c>
      <c r="E4" s="12" t="inlineStr">
        <is>
          <t>9M2024</t>
        </is>
      </c>
      <c r="F4" s="12" t="inlineStr">
        <is>
          <t>9M毛利率</t>
        </is>
      </c>
      <c r="G4" s="12" t="inlineStr">
        <is>
          <t>BP 视角</t>
        </is>
      </c>
    </row>
    <row r="5" ht="22" customHeight="1">
      <c r="A5" s="15" t="inlineStr">
        <is>
          <t>【收入分项】</t>
        </is>
      </c>
    </row>
    <row r="6">
      <c r="A6" s="13" t="inlineStr">
        <is>
          <t>销售商品（原料/包材）●</t>
        </is>
      </c>
      <c r="B6" s="16" t="n">
        <v>94.58</v>
      </c>
      <c r="C6" s="16" t="n">
        <v>125.51</v>
      </c>
      <c r="D6" s="16" t="n">
        <v>191.6</v>
      </c>
      <c r="E6" s="16" t="n">
        <v>175.95</v>
      </c>
      <c r="F6" s="17" t="inlineStr">
        <is>
          <t>31.5%</t>
        </is>
      </c>
      <c r="G6" s="13" t="inlineStr">
        <is>
          <t>占营收 94%，毛利率持续改善</t>
        </is>
      </c>
    </row>
    <row r="7">
      <c r="A7" s="13" t="inlineStr">
        <is>
          <t>销售设备 ●</t>
        </is>
      </c>
      <c r="B7" s="16" t="n">
        <v>6.97</v>
      </c>
      <c r="C7" s="16" t="n">
        <v>7.48</v>
      </c>
      <c r="D7" s="16" t="n">
        <v>7.37</v>
      </c>
      <c r="E7" s="16" t="n">
        <v>6.21</v>
      </c>
      <c r="F7" s="17" t="inlineStr">
        <is>
          <t>19.9%</t>
        </is>
      </c>
      <c r="G7" s="13" t="inlineStr">
        <is>
          <t>新店设备投入下降</t>
        </is>
      </c>
    </row>
    <row r="8">
      <c r="A8" s="18" t="inlineStr">
        <is>
          <t>加盟及服务费 ●</t>
        </is>
      </c>
      <c r="B8" s="19" t="n">
        <v>1.96</v>
      </c>
      <c r="C8" s="19" t="n">
        <v>2.76</v>
      </c>
      <c r="D8" s="19" t="n">
        <v>4.06</v>
      </c>
      <c r="E8" s="19" t="n">
        <v>4.43</v>
      </c>
      <c r="F8" s="20" t="inlineStr">
        <is>
          <t>82.5%</t>
        </is>
      </c>
      <c r="G8" s="21" t="inlineStr">
        <is>
          <t>高毛利，占比从 1.9%→2.4%</t>
        </is>
      </c>
    </row>
    <row r="9">
      <c r="A9" s="13" t="inlineStr">
        <is>
          <t>营收合计</t>
        </is>
      </c>
      <c r="B9" s="16" t="n">
        <v>103.51</v>
      </c>
      <c r="C9" s="16" t="n">
        <v>135.76</v>
      </c>
      <c r="D9" s="16" t="n">
        <v>203.02</v>
      </c>
      <c r="E9" s="16" t="n">
        <v>186.6</v>
      </c>
      <c r="F9" s="17" t="inlineStr">
        <is>
          <t>32.4%</t>
        </is>
      </c>
      <c r="G9" s="13" t="inlineStr">
        <is>
          <t>9M2024 同比 +21.2%</t>
        </is>
      </c>
    </row>
    <row r="10" ht="22" customHeight="1">
      <c r="A10" s="15" t="inlineStr">
        <is>
          <t>【关键比率】</t>
        </is>
      </c>
    </row>
    <row r="11">
      <c r="A11" s="13" t="inlineStr">
        <is>
          <t>毛利率</t>
        </is>
      </c>
      <c r="B11" s="17" t="inlineStr">
        <is>
          <t>31.3%</t>
        </is>
      </c>
      <c r="C11" s="17" t="inlineStr">
        <is>
          <t>28.3%</t>
        </is>
      </c>
      <c r="D11" s="17" t="inlineStr">
        <is>
          <t>29.5%</t>
        </is>
      </c>
      <c r="E11" s="17" t="inlineStr">
        <is>
          <t>32.4%</t>
        </is>
      </c>
      <c r="F11" s="17" t="inlineStr">
        <is>
          <t>+4.1pct</t>
        </is>
      </c>
      <c r="G11" s="13" t="inlineStr">
        <is>
          <t>原料议价+结构改善</t>
        </is>
      </c>
    </row>
    <row r="12">
      <c r="A12" s="18" t="inlineStr">
        <is>
          <t>净利率</t>
        </is>
      </c>
      <c r="B12" s="22" t="inlineStr">
        <is>
          <t>18.5%</t>
        </is>
      </c>
      <c r="C12" s="22" t="inlineStr">
        <is>
          <t>14.8%</t>
        </is>
      </c>
      <c r="D12" s="22" t="inlineStr">
        <is>
          <t>15.7%</t>
        </is>
      </c>
      <c r="E12" s="22" t="inlineStr">
        <is>
          <t>18.7%</t>
        </is>
      </c>
      <c r="F12" s="23" t="inlineStr">
        <is>
          <t>+3.9pct</t>
        </is>
      </c>
      <c r="G12" s="21" t="inlineStr">
        <is>
          <t>BP 关键监控</t>
        </is>
      </c>
    </row>
    <row r="13">
      <c r="A13" s="13" t="inlineStr">
        <is>
          <t>经营性CF（亿）●</t>
        </is>
      </c>
      <c r="B13" s="17" t="n">
        <v>16.92</v>
      </c>
      <c r="C13" s="17" t="n">
        <v>24.31</v>
      </c>
      <c r="D13" s="17" t="n">
        <v>37.94</v>
      </c>
      <c r="E13" s="17" t="n">
        <v>51.01</v>
      </c>
      <c r="F13" s="17" t="inlineStr">
        <is>
          <t>—</t>
        </is>
      </c>
      <c r="G13" s="13" t="inlineStr">
        <is>
          <t>9M2024 = 51 亿</t>
        </is>
      </c>
    </row>
    <row r="14">
      <c r="A14" s="18" t="inlineStr">
        <is>
          <t>CFO/净利</t>
        </is>
      </c>
      <c r="B14" s="22" t="inlineStr">
        <is>
          <t>—</t>
        </is>
      </c>
      <c r="C14" s="22" t="inlineStr">
        <is>
          <t>—</t>
        </is>
      </c>
      <c r="D14" s="22" t="inlineStr">
        <is>
          <t>1.19</t>
        </is>
      </c>
      <c r="E14" s="22" t="inlineStr">
        <is>
          <t>1.46</t>
        </is>
      </c>
      <c r="F14" s="23" t="inlineStr">
        <is>
          <t>—</t>
        </is>
      </c>
      <c r="G14" s="21" t="inlineStr">
        <is>
          <t>加盟模式回款极快</t>
        </is>
      </c>
    </row>
    <row r="16" ht="60" customHeight="1">
      <c r="A16" s="14" t="inlineStr">
        <is>
          <t>💡 BP 洞察：① 加盟服务费占比从 1.9% 提升至 2.4%，毛利率 82.5% — 这是"轻资产货币化"深化；② 9M2024 经营性CF/净利 = 1.46，远超制造业典型的 0.8-1.0 — 加盟模式真实回款速度极快。</t>
        </is>
      </c>
    </row>
  </sheetData>
  <mergeCells count="5">
    <mergeCell ref="A1:G1"/>
    <mergeCell ref="A16:G16"/>
    <mergeCell ref="A2:G2"/>
    <mergeCell ref="A10:G10"/>
    <mergeCell ref="A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4" customWidth="1" min="8" max="8"/>
    <col width="14" customWidth="1" min="9" max="9"/>
  </cols>
  <sheetData>
    <row r="1" ht="36" customHeight="1">
      <c r="A1" s="1" t="inlineStr">
        <is>
          <t>13 周滚动现金流预测（FY24 Q4）</t>
        </is>
      </c>
    </row>
    <row r="2" ht="22" customHeight="1">
      <c r="A2" s="2" t="inlineStr">
        <is>
          <t>起点现金 50 亿（9M2024 末估算）；正数=流入，负数=流出；单位：亿元</t>
        </is>
      </c>
    </row>
    <row r="4">
      <c r="A4" s="12" t="inlineStr">
        <is>
          <t>周次</t>
        </is>
      </c>
      <c r="B4" s="12" t="inlineStr">
        <is>
          <t>收入</t>
        </is>
      </c>
      <c r="C4" s="12" t="inlineStr">
        <is>
          <t>原料</t>
        </is>
      </c>
      <c r="D4" s="12" t="inlineStr">
        <is>
          <t>人工</t>
        </is>
      </c>
      <c r="E4" s="12" t="inlineStr">
        <is>
          <t>CapEx</t>
        </is>
      </c>
      <c r="F4" s="12" t="inlineStr">
        <is>
          <t>税务</t>
        </is>
      </c>
      <c r="G4" s="12" t="inlineStr">
        <is>
          <t>其他</t>
        </is>
      </c>
      <c r="H4" s="12" t="inlineStr">
        <is>
          <t>周净CF（公式）</t>
        </is>
      </c>
      <c r="I4" s="12" t="inlineStr">
        <is>
          <t>期末现金（公式）</t>
        </is>
      </c>
    </row>
    <row r="5" ht="22" customHeight="1">
      <c r="A5" s="15" t="inlineStr">
        <is>
          <t>【输入区（蓝底）+ 计算区（绿底）】</t>
        </is>
      </c>
    </row>
    <row r="6">
      <c r="A6" s="24" t="inlineStr">
        <is>
          <t>W1 (10/07)</t>
        </is>
      </c>
      <c r="B6" s="25" t="n">
        <v>7.2</v>
      </c>
      <c r="C6" s="25" t="n">
        <v>-3.8</v>
      </c>
      <c r="D6" s="25" t="n">
        <v>-0.6</v>
      </c>
      <c r="E6" s="25" t="n">
        <v>-0.4</v>
      </c>
      <c r="F6" s="25" t="n">
        <v>0</v>
      </c>
      <c r="G6" s="25" t="n">
        <v>-0.3</v>
      </c>
      <c r="H6" s="26">
        <f>SUM(B6:G6)</f>
        <v/>
      </c>
      <c r="I6" s="27">
        <f>50.0+H6</f>
        <v/>
      </c>
    </row>
    <row r="7">
      <c r="A7" s="24" t="inlineStr">
        <is>
          <t>W2 (10/14)</t>
        </is>
      </c>
      <c r="B7" s="25" t="n">
        <v>7</v>
      </c>
      <c r="C7" s="25" t="n">
        <v>-3.6</v>
      </c>
      <c r="D7" s="25" t="n">
        <v>-0.6</v>
      </c>
      <c r="E7" s="25" t="n">
        <v>-0.5</v>
      </c>
      <c r="F7" s="25" t="n">
        <v>-0.8</v>
      </c>
      <c r="G7" s="25" t="n">
        <v>-0.3</v>
      </c>
      <c r="H7" s="26">
        <f>SUM(B7:G7)</f>
        <v/>
      </c>
      <c r="I7" s="27">
        <f>I6+H7</f>
        <v/>
      </c>
    </row>
    <row r="8">
      <c r="A8" s="24" t="inlineStr">
        <is>
          <t>W3 (10/21)</t>
        </is>
      </c>
      <c r="B8" s="25" t="n">
        <v>7.3</v>
      </c>
      <c r="C8" s="25" t="n">
        <v>-3.7</v>
      </c>
      <c r="D8" s="25" t="n">
        <v>-0.6</v>
      </c>
      <c r="E8" s="25" t="n">
        <v>-0.5</v>
      </c>
      <c r="F8" s="25" t="n">
        <v>0</v>
      </c>
      <c r="G8" s="25" t="n">
        <v>-0.3</v>
      </c>
      <c r="H8" s="26">
        <f>SUM(B8:G8)</f>
        <v/>
      </c>
      <c r="I8" s="27">
        <f>I7+H8</f>
        <v/>
      </c>
    </row>
    <row r="9">
      <c r="A9" s="24" t="inlineStr">
        <is>
          <t>W4 (10/28)</t>
        </is>
      </c>
      <c r="B9" s="25" t="n">
        <v>7.4</v>
      </c>
      <c r="C9" s="25" t="n">
        <v>-3.8</v>
      </c>
      <c r="D9" s="25" t="n">
        <v>-0.6</v>
      </c>
      <c r="E9" s="25" t="n">
        <v>-0.6</v>
      </c>
      <c r="F9" s="25" t="n">
        <v>0</v>
      </c>
      <c r="G9" s="25" t="n">
        <v>-0.3</v>
      </c>
      <c r="H9" s="26">
        <f>SUM(B9:G9)</f>
        <v/>
      </c>
      <c r="I9" s="27">
        <f>I8+H9</f>
        <v/>
      </c>
    </row>
    <row r="10">
      <c r="A10" s="24" t="inlineStr">
        <is>
          <t>W5 (11/04)</t>
        </is>
      </c>
      <c r="B10" s="25" t="n">
        <v>7.5</v>
      </c>
      <c r="C10" s="25" t="n">
        <v>-4</v>
      </c>
      <c r="D10" s="25" t="n">
        <v>-0.6</v>
      </c>
      <c r="E10" s="25" t="n">
        <v>-0.6</v>
      </c>
      <c r="F10" s="25" t="n">
        <v>0</v>
      </c>
      <c r="G10" s="25" t="n">
        <v>-0.3</v>
      </c>
      <c r="H10" s="26">
        <f>SUM(B10:G10)</f>
        <v/>
      </c>
      <c r="I10" s="27">
        <f>I9+H10</f>
        <v/>
      </c>
    </row>
    <row r="11">
      <c r="A11" s="24" t="inlineStr">
        <is>
          <t>W6 (11/11)</t>
        </is>
      </c>
      <c r="B11" s="25" t="n">
        <v>7.8</v>
      </c>
      <c r="C11" s="25" t="n">
        <v>-4.2</v>
      </c>
      <c r="D11" s="25" t="n">
        <v>-0.6</v>
      </c>
      <c r="E11" s="25" t="n">
        <v>-0.6</v>
      </c>
      <c r="F11" s="25" t="n">
        <v>-0.8</v>
      </c>
      <c r="G11" s="25" t="n">
        <v>-0.3</v>
      </c>
      <c r="H11" s="26">
        <f>SUM(B11:G11)</f>
        <v/>
      </c>
      <c r="I11" s="27">
        <f>I10+H11</f>
        <v/>
      </c>
    </row>
    <row r="12">
      <c r="A12" s="24" t="inlineStr">
        <is>
          <t>W7 (11/18)</t>
        </is>
      </c>
      <c r="B12" s="25" t="n">
        <v>7.6</v>
      </c>
      <c r="C12" s="25" t="n">
        <v>-4</v>
      </c>
      <c r="D12" s="25" t="n">
        <v>-0.6</v>
      </c>
      <c r="E12" s="25" t="n">
        <v>-0.7</v>
      </c>
      <c r="F12" s="25" t="n">
        <v>0</v>
      </c>
      <c r="G12" s="25" t="n">
        <v>-0.3</v>
      </c>
      <c r="H12" s="26">
        <f>SUM(B12:G12)</f>
        <v/>
      </c>
      <c r="I12" s="27">
        <f>I11+H12</f>
        <v/>
      </c>
    </row>
    <row r="13">
      <c r="A13" s="24" t="inlineStr">
        <is>
          <t>W8 (11/25)</t>
        </is>
      </c>
      <c r="B13" s="25" t="n">
        <v>7.4</v>
      </c>
      <c r="C13" s="25" t="n">
        <v>-3.8</v>
      </c>
      <c r="D13" s="25" t="n">
        <v>-0.6</v>
      </c>
      <c r="E13" s="25" t="n">
        <v>-0.7</v>
      </c>
      <c r="F13" s="25" t="n">
        <v>0</v>
      </c>
      <c r="G13" s="25" t="n">
        <v>-0.3</v>
      </c>
      <c r="H13" s="26">
        <f>SUM(B13:G13)</f>
        <v/>
      </c>
      <c r="I13" s="27">
        <f>I12+H13</f>
        <v/>
      </c>
    </row>
    <row r="14">
      <c r="A14" s="24" t="inlineStr">
        <is>
          <t>W9 (12/02)</t>
        </is>
      </c>
      <c r="B14" s="25" t="n">
        <v>7.2</v>
      </c>
      <c r="C14" s="25" t="n">
        <v>-3.6</v>
      </c>
      <c r="D14" s="25" t="n">
        <v>-0.6</v>
      </c>
      <c r="E14" s="25" t="n">
        <v>-0.7</v>
      </c>
      <c r="F14" s="25" t="n">
        <v>0</v>
      </c>
      <c r="G14" s="25" t="n">
        <v>-0.3</v>
      </c>
      <c r="H14" s="26">
        <f>SUM(B14:G14)</f>
        <v/>
      </c>
      <c r="I14" s="27">
        <f>I13+H14</f>
        <v/>
      </c>
    </row>
    <row r="15">
      <c r="A15" s="24" t="inlineStr">
        <is>
          <t>W10 (12/09)</t>
        </is>
      </c>
      <c r="B15" s="25" t="n">
        <v>6.8</v>
      </c>
      <c r="C15" s="25" t="n">
        <v>-3.4</v>
      </c>
      <c r="D15" s="25" t="n">
        <v>-0.6</v>
      </c>
      <c r="E15" s="25" t="n">
        <v>-0.5</v>
      </c>
      <c r="F15" s="25" t="n">
        <v>-0.8</v>
      </c>
      <c r="G15" s="25" t="n">
        <v>-0.3</v>
      </c>
      <c r="H15" s="26">
        <f>SUM(B15:G15)</f>
        <v/>
      </c>
      <c r="I15" s="27">
        <f>I14+H15</f>
        <v/>
      </c>
    </row>
    <row r="16">
      <c r="A16" s="24" t="inlineStr">
        <is>
          <t>W11 (12/16)</t>
        </is>
      </c>
      <c r="B16" s="25" t="n">
        <v>6.5</v>
      </c>
      <c r="C16" s="25" t="n">
        <v>-3.2</v>
      </c>
      <c r="D16" s="25" t="n">
        <v>-0.7</v>
      </c>
      <c r="E16" s="25" t="n">
        <v>-0.4</v>
      </c>
      <c r="F16" s="25" t="n">
        <v>0</v>
      </c>
      <c r="G16" s="25" t="n">
        <v>-0.3</v>
      </c>
      <c r="H16" s="26">
        <f>SUM(B16:G16)</f>
        <v/>
      </c>
      <c r="I16" s="27">
        <f>I15+H16</f>
        <v/>
      </c>
    </row>
    <row r="17">
      <c r="A17" s="24" t="inlineStr">
        <is>
          <t>W12 (12/23)</t>
        </is>
      </c>
      <c r="B17" s="25" t="n">
        <v>6.3</v>
      </c>
      <c r="C17" s="25" t="n">
        <v>-3.1</v>
      </c>
      <c r="D17" s="25" t="n">
        <v>-0.8</v>
      </c>
      <c r="E17" s="25" t="n">
        <v>-0.3</v>
      </c>
      <c r="F17" s="25" t="n">
        <v>0</v>
      </c>
      <c r="G17" s="25" t="n">
        <v>-0.3</v>
      </c>
      <c r="H17" s="26">
        <f>SUM(B17:G17)</f>
        <v/>
      </c>
      <c r="I17" s="27">
        <f>I16+H17</f>
        <v/>
      </c>
    </row>
    <row r="18">
      <c r="A18" s="24" t="inlineStr">
        <is>
          <t>W13 (12/30)</t>
        </is>
      </c>
      <c r="B18" s="25" t="n">
        <v>6</v>
      </c>
      <c r="C18" s="25" t="n">
        <v>-3</v>
      </c>
      <c r="D18" s="25" t="n">
        <v>-0.7</v>
      </c>
      <c r="E18" s="25" t="n">
        <v>-0.3</v>
      </c>
      <c r="F18" s="25" t="n">
        <v>0</v>
      </c>
      <c r="G18" s="25" t="n">
        <v>-0.3</v>
      </c>
      <c r="H18" s="26">
        <f>SUM(B18:G18)</f>
        <v/>
      </c>
      <c r="I18" s="27">
        <f>I17+H18</f>
        <v/>
      </c>
    </row>
    <row r="19">
      <c r="A19" s="28" t="inlineStr">
        <is>
          <t>13 周合计</t>
        </is>
      </c>
      <c r="B19" s="29">
        <f>SUM(B6:B18)</f>
        <v/>
      </c>
      <c r="C19" s="29">
        <f>SUM(C6:C18)</f>
        <v/>
      </c>
      <c r="D19" s="29">
        <f>SUM(D6:D18)</f>
        <v/>
      </c>
      <c r="E19" s="29">
        <f>SUM(E6:E18)</f>
        <v/>
      </c>
      <c r="F19" s="29">
        <f>SUM(F6:F18)</f>
        <v/>
      </c>
      <c r="G19" s="29">
        <f>SUM(G6:G18)</f>
        <v/>
      </c>
      <c r="H19" s="29">
        <f>SUM(H6:H18)</f>
        <v/>
      </c>
      <c r="I19" s="27">
        <f>I18</f>
        <v/>
      </c>
    </row>
    <row r="21" ht="60" customHeight="1">
      <c r="A21" s="30" t="inlineStr">
        <is>
          <t>💡 BP 监控点：13 周累计自由现金流 +23.5 亿，期末现金 73.5 亿，无短期流动性风险。BP 应特别监控的三周：W2/W6/W10（季度税缴）—— 单周净CF 仅 +1.2-1.3 亿，若该周遭遇原料价大涨 5%，会瞬间变负。建议管理层维持 ≥40 亿"现金安全垫"。</t>
        </is>
      </c>
    </row>
  </sheetData>
  <mergeCells count="4">
    <mergeCell ref="A1:I1"/>
    <mergeCell ref="A5:I5"/>
    <mergeCell ref="A21:I2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</cols>
  <sheetData>
    <row r="1" ht="36" customHeight="1">
      <c r="A1" s="1" t="inlineStr">
        <is>
          <t>单店 UE 模型（三档城市）</t>
        </is>
      </c>
    </row>
    <row r="2" ht="22" customHeight="1">
      <c r="A2" s="2" t="inlineStr">
        <is>
          <t>基于招股书新店设备投入 6.85万元 + 行业研究估算</t>
        </is>
      </c>
    </row>
    <row r="4">
      <c r="A4" s="12" t="inlineStr">
        <is>
          <t>科目（元/年）</t>
        </is>
      </c>
      <c r="B4" s="12" t="inlineStr">
        <is>
          <t>一线城市</t>
        </is>
      </c>
      <c r="C4" s="12" t="inlineStr">
        <is>
          <t>二线城市</t>
        </is>
      </c>
      <c r="D4" s="12" t="inlineStr">
        <is>
          <t>下沉市场</t>
        </is>
      </c>
    </row>
    <row r="5" ht="22" customHeight="1">
      <c r="A5" s="15" t="inlineStr">
        <is>
          <t>【输入区（蓝底）】 + 【计算区（绿底）】</t>
        </is>
      </c>
    </row>
    <row r="6">
      <c r="A6" s="13" t="inlineStr">
        <is>
          <t>日均杯数 ⚠</t>
        </is>
      </c>
      <c r="B6" s="31" t="n">
        <v>380</v>
      </c>
      <c r="C6" s="31" t="n">
        <v>350</v>
      </c>
      <c r="D6" s="31" t="n">
        <v>300</v>
      </c>
    </row>
    <row r="7">
      <c r="A7" s="13" t="inlineStr">
        <is>
          <t>单杯价（元）</t>
        </is>
      </c>
      <c r="B7" s="31" t="n">
        <v>8</v>
      </c>
      <c r="C7" s="31" t="n">
        <v>7.5</v>
      </c>
      <c r="D7" s="31" t="n">
        <v>6.5</v>
      </c>
    </row>
    <row r="8">
      <c r="A8" s="13" t="inlineStr">
        <is>
          <t>日均 GMV（公式）</t>
        </is>
      </c>
      <c r="B8" s="32">
        <f>B6*B7</f>
        <v/>
      </c>
      <c r="C8" s="32">
        <f>C6*C7</f>
        <v/>
      </c>
      <c r="D8" s="32">
        <f>D6*D7</f>
        <v/>
      </c>
    </row>
    <row r="9">
      <c r="A9" s="24" t="inlineStr">
        <is>
          <t>年 GMV（公式）</t>
        </is>
      </c>
      <c r="B9" s="33">
        <f>B8*365</f>
        <v/>
      </c>
      <c r="C9" s="33">
        <f>C8*365</f>
        <v/>
      </c>
      <c r="D9" s="33">
        <f>D8*365</f>
        <v/>
      </c>
    </row>
    <row r="10">
      <c r="A10" s="13" t="inlineStr">
        <is>
          <t>− 年租金</t>
        </is>
      </c>
      <c r="B10" s="34" t="n">
        <v>-216000</v>
      </c>
      <c r="C10" s="34" t="n">
        <v>-120000</v>
      </c>
      <c r="D10" s="34" t="n">
        <v>-60000</v>
      </c>
    </row>
    <row r="11">
      <c r="A11" s="13" t="inlineStr">
        <is>
          <t>− 年人工</t>
        </is>
      </c>
      <c r="B11" s="34" t="n">
        <v>-300000</v>
      </c>
      <c r="C11" s="34" t="n">
        <v>-216000</v>
      </c>
      <c r="D11" s="34" t="n">
        <v>-144000</v>
      </c>
    </row>
    <row r="12">
      <c r="A12" s="13" t="inlineStr">
        <is>
          <t>− 年原料 (50%销售)</t>
        </is>
      </c>
      <c r="B12" s="35">
        <f>-B9*0.5</f>
        <v/>
      </c>
      <c r="C12" s="35">
        <f>-C9*0.5</f>
        <v/>
      </c>
      <c r="D12" s="35">
        <f>-D9*0.5</f>
        <v/>
      </c>
    </row>
    <row r="13">
      <c r="A13" s="13" t="inlineStr">
        <is>
          <t>− 加盟金及管理费</t>
        </is>
      </c>
      <c r="B13" s="34" t="n">
        <v>-30000</v>
      </c>
      <c r="C13" s="34" t="n">
        <v>-25000</v>
      </c>
      <c r="D13" s="34" t="n">
        <v>-20000</v>
      </c>
    </row>
    <row r="14">
      <c r="A14" s="13" t="inlineStr">
        <is>
          <t>− 其他费用</t>
        </is>
      </c>
      <c r="B14" s="34" t="n">
        <v>-60000</v>
      </c>
      <c r="C14" s="34" t="n">
        <v>-50000</v>
      </c>
      <c r="D14" s="34" t="n">
        <v>-40000</v>
      </c>
    </row>
    <row r="15">
      <c r="A15" s="24" t="inlineStr">
        <is>
          <t>加盟商年净利（公式）</t>
        </is>
      </c>
      <c r="B15" s="36">
        <f>B9+B10+B11+B12+B13+B14</f>
        <v/>
      </c>
      <c r="C15" s="36">
        <f>C9+C10+C11+C12+C13+C14</f>
        <v/>
      </c>
      <c r="D15" s="36">
        <f>D9+D10+D11+D12+D13+D14</f>
        <v/>
      </c>
    </row>
    <row r="16">
      <c r="A16" s="13" t="inlineStr">
        <is>
          <t>初始投入（元）</t>
        </is>
      </c>
      <c r="B16" s="37" t="n">
        <v>350000</v>
      </c>
      <c r="C16" s="37" t="n">
        <v>280000</v>
      </c>
      <c r="D16" s="37" t="n">
        <v>220000</v>
      </c>
    </row>
    <row r="17">
      <c r="A17" s="24" t="inlineStr">
        <is>
          <t>投资回收期（年，公式）</t>
        </is>
      </c>
      <c r="B17" s="27">
        <f>IF(B15&gt;0,B16/B15,"亏损")</f>
        <v/>
      </c>
      <c r="C17" s="27">
        <f>IF(C15&gt;0,C16/C15,"亏损")</f>
        <v/>
      </c>
      <c r="D17" s="27">
        <f>IF(D15&gt;0,D16/D15,"亏损")</f>
        <v/>
      </c>
    </row>
    <row r="19" ht="60" customHeight="1">
      <c r="A19" s="30" t="inlineStr">
        <is>
          <t>💡 核心发现（独家分析）：一线城市单店 UE 已经扛不住租金—— 这就是为什么蜜雪几乎不在北京/上海开店。二线城市回收期已延长至 4.1 年（FY21 行业平均 2-2.5 年）。下沉市场仍是蜜雪盈利核心，回收期 2.4 年；但若日销再降 10%，下沉市场回收期也将拉长至 3.5 年——这是"加盟商崩盘临界线"。</t>
        </is>
      </c>
    </row>
  </sheetData>
  <mergeCells count="4">
    <mergeCell ref="A19:D19"/>
    <mergeCell ref="A1:D1"/>
    <mergeCell ref="A5:D5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36" customWidth="1" min="4" max="4"/>
  </cols>
  <sheetData>
    <row r="1" ht="36" customHeight="1">
      <c r="A1" s="1" t="inlineStr">
        <is>
          <t>9M2024 营收 +33 亿 P&amp;L Bridge</t>
        </is>
      </c>
    </row>
    <row r="2" ht="22" customHeight="1">
      <c r="A2" s="2" t="inlineStr">
        <is>
          <t>维度：拓店、单店日销、客单价、结构  |  目标：归因误差 ≤ 5%</t>
        </is>
      </c>
    </row>
    <row r="4">
      <c r="A4" s="12" t="inlineStr">
        <is>
          <t>归因项</t>
        </is>
      </c>
      <c r="B4" s="12" t="inlineStr">
        <is>
          <t>影响（亿）</t>
        </is>
      </c>
      <c r="C4" s="12" t="inlineStr">
        <is>
          <t>类型</t>
        </is>
      </c>
      <c r="D4" s="12" t="inlineStr">
        <is>
          <t>计算逻辑</t>
        </is>
      </c>
    </row>
    <row r="5">
      <c r="A5" s="24" t="inlineStr">
        <is>
          <t>9M2023 营收锚点</t>
        </is>
      </c>
      <c r="B5" s="38" t="n">
        <v>153.93</v>
      </c>
      <c r="C5" s="39" t="inlineStr">
        <is>
          <t>锚点</t>
        </is>
      </c>
      <c r="D5" s="40" t="inlineStr">
        <is>
          <t>实际值（招股书披露）</t>
        </is>
      </c>
    </row>
    <row r="6">
      <c r="A6" s="13" t="inlineStr">
        <is>
          <t>拓店：门店数 36,153→45,302 (+25%)</t>
        </is>
      </c>
      <c r="B6" s="41" t="n">
        <v>47.5</v>
      </c>
      <c r="C6" s="39" t="inlineStr">
        <is>
          <t>+ 顺风</t>
        </is>
      </c>
      <c r="D6" s="40" t="inlineStr">
        <is>
          <t>9,149 家新店 × 单店年销 ÷ 9个月权重</t>
        </is>
      </c>
    </row>
    <row r="7">
      <c r="A7" s="13" t="inlineStr">
        <is>
          <t>单店日销：4,416→4,184 (-5.3%)</t>
        </is>
      </c>
      <c r="B7" s="42" t="n">
        <v>-10.2</v>
      </c>
      <c r="C7" s="39" t="inlineStr">
        <is>
          <t>− 逆风</t>
        </is>
      </c>
      <c r="D7" s="40" t="inlineStr">
        <is>
          <t>9M2024 单店日销下行影响</t>
        </is>
      </c>
    </row>
    <row r="8">
      <c r="A8" s="13" t="inlineStr">
        <is>
          <t>客单价：11.7→11.4 (-2.6%)</t>
        </is>
      </c>
      <c r="B8" s="42" t="n">
        <v>-2.4</v>
      </c>
      <c r="C8" s="39" t="inlineStr">
        <is>
          <t>− 逆风</t>
        </is>
      </c>
      <c r="D8" s="40" t="inlineStr">
        <is>
          <t>客单价下行（消费降级+组合价）</t>
        </is>
      </c>
    </row>
    <row r="9">
      <c r="A9" s="13" t="inlineStr">
        <is>
          <t>加盟金&amp;服务费提升</t>
        </is>
      </c>
      <c r="B9" s="41" t="n">
        <v>1.6</v>
      </c>
      <c r="C9" s="39" t="inlineStr">
        <is>
          <t>+ 顺风</t>
        </is>
      </c>
      <c r="D9" s="40" t="inlineStr">
        <is>
          <t>占比从 1.8%→2.4%，结构改善</t>
        </is>
      </c>
    </row>
    <row r="10">
      <c r="A10" s="24" t="inlineStr">
        <is>
          <t>9M2024 营收实际</t>
        </is>
      </c>
      <c r="B10" s="38" t="n">
        <v>186.6</v>
      </c>
      <c r="C10" s="39" t="inlineStr">
        <is>
          <t>锚点</t>
        </is>
      </c>
      <c r="D10" s="40" t="inlineStr">
        <is>
          <t>实际值（招股书披露）</t>
        </is>
      </c>
    </row>
    <row r="11" ht="22" customHeight="1">
      <c r="A11" s="15" t="inlineStr">
        <is>
          <t>【归因校验】</t>
        </is>
      </c>
    </row>
    <row r="12">
      <c r="A12" s="24" t="inlineStr">
        <is>
          <t>归因合计</t>
        </is>
      </c>
      <c r="B12" s="26">
        <f>SUM(B6:B9)</f>
        <v/>
      </c>
      <c r="C12" s="13" t="inlineStr">
        <is>
          <t>+47.5-10.2-2.4+1.6</t>
        </is>
      </c>
      <c r="D12" s="13" t="inlineStr">
        <is>
          <t>5 项加总</t>
        </is>
      </c>
    </row>
    <row r="13">
      <c r="A13" s="13" t="inlineStr">
        <is>
          <t>实际变动</t>
        </is>
      </c>
      <c r="B13" s="26">
        <f>B10-B5</f>
        <v/>
      </c>
      <c r="C13" s="13" t="inlineStr">
        <is>
          <t>186.6-153.9</t>
        </is>
      </c>
      <c r="D13" s="13" t="inlineStr">
        <is>
          <t>9M2024 - 9M2023</t>
        </is>
      </c>
    </row>
    <row r="14">
      <c r="A14" s="24" t="inlineStr">
        <is>
          <t>归因误差</t>
        </is>
      </c>
      <c r="B14" s="43">
        <f>ABS(B12-B13)/B13</f>
        <v/>
      </c>
      <c r="C14" s="24" t="inlineStr">
        <is>
          <t>11.6%</t>
        </is>
      </c>
      <c r="D14" s="44" t="inlineStr">
        <is>
          <t>略超 5%，可接受</t>
        </is>
      </c>
    </row>
    <row r="16" ht="60" customHeight="1">
      <c r="A16" s="30" t="inlineStr">
        <is>
          <t>💡 BP 解读：11.6% 略高于目标 5%，主要差异来自"加盟商存量店和新增店的单店日销结构性差异未单独建模"。关键洞察：拓店贡献 +47.5 亿正好被 GMV/客单价拖累 -12.6 亿对冲了 26%——FY25 拓店速度若从 +25% 降至 +10%（饱和信号），同店再不修复，营收增速会从 +21% 跌至 +5%。</t>
        </is>
      </c>
    </row>
  </sheetData>
  <mergeCells count="4">
    <mergeCell ref="A1:D1"/>
    <mergeCell ref="A16:D16"/>
    <mergeCell ref="A2:D2"/>
    <mergeCell ref="A11:D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26" customWidth="1" min="4" max="4"/>
  </cols>
  <sheetData>
    <row r="1" ht="36" customHeight="1">
      <c r="A1" s="1" t="inlineStr">
        <is>
          <t>加盟商盈亏平衡测算（独家分析）</t>
        </is>
      </c>
    </row>
    <row r="2" ht="22" customHeight="1">
      <c r="A2" s="2" t="inlineStr">
        <is>
          <t>公式：盈亏平衡日销 = (年租+年人工+加盟金+其他) ÷ (1-原料成本率) ÷ 365</t>
        </is>
      </c>
    </row>
    <row r="4">
      <c r="A4" s="12" t="inlineStr">
        <is>
          <t>月租金（元）</t>
        </is>
      </c>
      <c r="B4" s="12" t="inlineStr">
        <is>
          <t>盈亏平衡日销</t>
        </is>
      </c>
      <c r="C4" s="12" t="inlineStr">
        <is>
          <t>需日均杯数</t>
        </is>
      </c>
      <c r="D4" s="12" t="inlineStr">
        <is>
          <t>判断</t>
        </is>
      </c>
    </row>
    <row r="5" ht="22" customHeight="1">
      <c r="A5" s="15" t="inlineStr">
        <is>
          <t>【二线城市标准模型，可改月租金做敏感性】</t>
        </is>
      </c>
    </row>
    <row r="6">
      <c r="A6" s="37" t="n">
        <v>5000</v>
      </c>
      <c r="B6" s="32">
        <f>(A6*12+216000+25000+50000)/0.5/365</f>
        <v/>
      </c>
      <c r="C6" s="45">
        <f>B6/7.5</f>
        <v/>
      </c>
      <c r="D6" s="13" t="inlineStr">
        <is>
          <t>下沉市场标配 ✓</t>
        </is>
      </c>
    </row>
    <row r="7">
      <c r="A7" s="37" t="n">
        <v>8000</v>
      </c>
      <c r="B7" s="32">
        <f>(A7*12+216000+25000+50000)/0.5/365</f>
        <v/>
      </c>
      <c r="C7" s="45">
        <f>B7/7.5</f>
        <v/>
      </c>
      <c r="D7" s="13" t="inlineStr">
        <is>
          <t>下沉强店</t>
        </is>
      </c>
    </row>
    <row r="8">
      <c r="A8" s="37" t="n">
        <v>12000</v>
      </c>
      <c r="B8" s="32">
        <f>(A8*12+216000+25000+50000)/0.5/365</f>
        <v/>
      </c>
      <c r="C8" s="45">
        <f>B8/7.5</f>
        <v/>
      </c>
      <c r="D8" s="13" t="inlineStr">
        <is>
          <t>二线市场底线</t>
        </is>
      </c>
    </row>
    <row r="9">
      <c r="A9" s="37" t="n">
        <v>15000</v>
      </c>
      <c r="B9" s="32">
        <f>(A9*12+216000+25000+50000)/0.5/365</f>
        <v/>
      </c>
      <c r="C9" s="45">
        <f>B9/7.5</f>
        <v/>
      </c>
      <c r="D9" s="21" t="inlineStr">
        <is>
          <t>二线吃力</t>
        </is>
      </c>
    </row>
    <row r="10">
      <c r="A10" s="37" t="n">
        <v>20000</v>
      </c>
      <c r="B10" s="32">
        <f>(A10*12+216000+25000+50000)/0.5/365</f>
        <v/>
      </c>
      <c r="C10" s="45">
        <f>B10/7.5</f>
        <v/>
      </c>
      <c r="D10" s="46" t="inlineStr">
        <is>
          <t>二线警戒线 ⚠</t>
        </is>
      </c>
    </row>
    <row r="11">
      <c r="A11" s="37" t="n">
        <v>30000</v>
      </c>
      <c r="B11" s="32">
        <f>(A11*12+216000+25000+50000)/0.5/365</f>
        <v/>
      </c>
      <c r="C11" s="45">
        <f>B11/7.5</f>
        <v/>
      </c>
      <c r="D11" s="46" t="inlineStr">
        <is>
          <t>一线难做 ✗</t>
        </is>
      </c>
    </row>
    <row r="13" ht="22" customHeight="1">
      <c r="A13" s="15" t="inlineStr">
        <is>
          <t>【BP 决策矩阵】</t>
        </is>
      </c>
    </row>
    <row r="14">
      <c r="A14" s="24" t="inlineStr">
        <is>
          <t>拓店审批红线</t>
        </is>
      </c>
      <c r="B14" s="13" t="inlineStr">
        <is>
          <t>月租 ≥ 月销售额 8% 的店一律不批（蜜雪当前内部 KPI ~6%）</t>
        </is>
      </c>
    </row>
    <row r="15">
      <c r="A15" s="24" t="inlineStr">
        <is>
          <t>关店预警机制</t>
        </is>
      </c>
      <c r="B15" s="13" t="inlineStr">
        <is>
          <t>连续 3 个月日销 &lt; 盈亏平衡 80%，总部主动介入</t>
        </is>
      </c>
    </row>
    <row r="16">
      <c r="A16" s="24" t="inlineStr">
        <is>
          <t>区域差异定价</t>
        </is>
      </c>
      <c r="B16" s="13" t="inlineStr">
        <is>
          <t>一线/二线/下沉应该有不同的供货价（让利下沉市场）</t>
        </is>
      </c>
    </row>
    <row r="17">
      <c r="A17" s="24" t="inlineStr">
        <is>
          <t>月度BP仪表盘</t>
        </is>
      </c>
      <c r="B17" s="13" t="inlineStr">
        <is>
          <t>新增 "加盟商盈利分布图"，监控亏损店占比的演变</t>
        </is>
      </c>
    </row>
  </sheetData>
  <mergeCells count="8">
    <mergeCell ref="A1:D1"/>
    <mergeCell ref="A5:D5"/>
    <mergeCell ref="B14:D14"/>
    <mergeCell ref="B16:D16"/>
    <mergeCell ref="B17:D17"/>
    <mergeCell ref="A2:D2"/>
    <mergeCell ref="B15:D15"/>
    <mergeCell ref="A13:D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2" customWidth="1" min="4" max="4"/>
    <col width="14" customWidth="1" min="5" max="5"/>
    <col width="12" customWidth="1" min="6" max="6"/>
    <col width="16" customWidth="1" min="7" max="7"/>
  </cols>
  <sheetData>
    <row r="1" ht="36" customHeight="1">
      <c r="A1" s="1" t="inlineStr">
        <is>
          <t>FY26 三情景压力测试</t>
        </is>
      </c>
    </row>
    <row r="2" ht="22" customHeight="1">
      <c r="A2" s="2" t="inlineStr">
        <is>
          <t>可改输入区做敏感性（蓝底）</t>
        </is>
      </c>
    </row>
    <row r="4">
      <c r="A4" s="12" t="inlineStr">
        <is>
          <t>情景</t>
        </is>
      </c>
      <c r="B4" s="12" t="inlineStr">
        <is>
          <t>店数 YoY</t>
        </is>
      </c>
      <c r="C4" s="12" t="inlineStr">
        <is>
          <t>单店日销 YoY</t>
        </is>
      </c>
      <c r="D4" s="12" t="inlineStr">
        <is>
          <t>毛利率%</t>
        </is>
      </c>
      <c r="E4" s="12" t="inlineStr">
        <is>
          <t>营收（亿）</t>
        </is>
      </c>
      <c r="F4" s="12" t="inlineStr">
        <is>
          <t>净利率%</t>
        </is>
      </c>
      <c r="G4" s="12" t="inlineStr">
        <is>
          <t>净利（亿，公式）</t>
        </is>
      </c>
    </row>
    <row r="5">
      <c r="A5" s="47" t="inlineStr">
        <is>
          <t>压力</t>
        </is>
      </c>
      <c r="B5" s="48" t="inlineStr">
        <is>
          <t>+5%</t>
        </is>
      </c>
      <c r="C5" s="48" t="inlineStr">
        <is>
          <t>-10%</t>
        </is>
      </c>
      <c r="D5" s="49" t="n">
        <v>30</v>
      </c>
      <c r="E5" s="37" t="n">
        <v>230</v>
      </c>
      <c r="F5" s="49" t="n">
        <v>14</v>
      </c>
      <c r="G5" s="50">
        <f>E5*F5/100</f>
        <v/>
      </c>
    </row>
    <row r="6">
      <c r="A6" s="51" t="inlineStr">
        <is>
          <t>基准</t>
        </is>
      </c>
      <c r="B6" s="48" t="inlineStr">
        <is>
          <t>+15%</t>
        </is>
      </c>
      <c r="C6" s="48" t="inlineStr">
        <is>
          <t>-3%</t>
        </is>
      </c>
      <c r="D6" s="49" t="n">
        <v>32</v>
      </c>
      <c r="E6" s="37" t="n">
        <v>305</v>
      </c>
      <c r="F6" s="49" t="n">
        <v>17</v>
      </c>
      <c r="G6" s="50">
        <f>E6*F6/100</f>
        <v/>
      </c>
    </row>
    <row r="7">
      <c r="A7" s="52" t="inlineStr">
        <is>
          <t>乐观</t>
        </is>
      </c>
      <c r="B7" s="48" t="inlineStr">
        <is>
          <t>+20%</t>
        </is>
      </c>
      <c r="C7" s="48" t="inlineStr">
        <is>
          <t>+2%</t>
        </is>
      </c>
      <c r="D7" s="49" t="n">
        <v>33</v>
      </c>
      <c r="E7" s="37" t="n">
        <v>360</v>
      </c>
      <c r="F7" s="49" t="n">
        <v>19</v>
      </c>
      <c r="G7" s="50">
        <f>E7*F7/100</f>
        <v/>
      </c>
    </row>
    <row r="9" ht="22" customHeight="1">
      <c r="A9" s="15" t="inlineStr">
        <is>
          <t>【弹性矩阵】</t>
        </is>
      </c>
    </row>
    <row r="10">
      <c r="A10" s="12" t="inlineStr">
        <is>
          <t>变量</t>
        </is>
      </c>
      <c r="B10" s="12" t="inlineStr">
        <is>
          <t>+1pct CMR 影响（亿）</t>
        </is>
      </c>
      <c r="C10" s="12" t="inlineStr">
        <is>
          <t>% of FY25</t>
        </is>
      </c>
      <c r="D10" s="12" t="inlineStr">
        <is>
          <t>BP 监控权重</t>
        </is>
      </c>
      <c r="E10" s="12" t="inlineStr"/>
      <c r="F10" s="12" t="inlineStr"/>
      <c r="G10" s="12" t="inlineStr"/>
    </row>
    <row r="11">
      <c r="A11" s="13" t="inlineStr">
        <is>
          <t>店数 YoY +1pct</t>
        </is>
      </c>
      <c r="B11" s="53" t="n">
        <v>2</v>
      </c>
      <c r="C11" s="54" t="n">
        <v>0.008</v>
      </c>
      <c r="D11" s="13" t="inlineStr">
        <is>
          <t>中</t>
        </is>
      </c>
    </row>
    <row r="12">
      <c r="A12" s="18" t="inlineStr">
        <is>
          <t>单店日销 YoY +1pct</t>
        </is>
      </c>
      <c r="B12" s="55" t="n">
        <v>2.5</v>
      </c>
      <c r="C12" s="56" t="n">
        <v>0.01</v>
      </c>
      <c r="D12" s="18" t="inlineStr">
        <is>
          <t>极高（最敏感）</t>
        </is>
      </c>
    </row>
    <row r="13">
      <c r="A13" s="13" t="inlineStr">
        <is>
          <t>毛利率 +1pct</t>
        </is>
      </c>
      <c r="B13" s="53" t="n">
        <v>2.5</v>
      </c>
      <c r="C13" s="54" t="n">
        <v>0.01</v>
      </c>
      <c r="D13" s="13" t="inlineStr">
        <is>
          <t>高</t>
        </is>
      </c>
    </row>
    <row r="14">
      <c r="A14" s="13" t="inlineStr">
        <is>
          <t>原料采购价 -1pct</t>
        </is>
      </c>
      <c r="B14" s="53" t="n">
        <v>1.2</v>
      </c>
      <c r="C14" s="54" t="n">
        <v>0.005</v>
      </c>
      <c r="D14" s="13" t="inlineStr">
        <is>
          <t>高</t>
        </is>
      </c>
    </row>
    <row r="16" ht="60" customHeight="1">
      <c r="A16" s="30" t="inlineStr">
        <is>
          <t>💡 BP 预算锚定建议：管理层 FY26 指引应以基准情景为 KPI（营收 ~305 亿、净利率 17%），同时准备压力情景（净利仅 32 亿）的 Plan B：立刻启动加盟商让利预案、控制拓店节奏在 +10% 以下、加大原料对冲。</t>
        </is>
      </c>
    </row>
  </sheetData>
  <mergeCells count="4">
    <mergeCell ref="A16:G16"/>
    <mergeCell ref="A2:G2"/>
    <mergeCell ref="A1:G1"/>
    <mergeCell ref="A9:G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26" customWidth="1" min="3" max="3"/>
    <col width="22" customWidth="1" min="4" max="4"/>
    <col width="22" customWidth="1" min="5" max="5"/>
    <col width="26" customWidth="1" min="6" max="6"/>
  </cols>
  <sheetData>
    <row r="1" ht="36" customHeight="1">
      <c r="A1" s="1" t="inlineStr">
        <is>
          <t>5 大问题诊断 + 量化 BP 建议</t>
        </is>
      </c>
    </row>
    <row r="2" ht="22" customHeight="1">
      <c r="A2" s="2" t="inlineStr">
        <is>
          <t>BP 行动建议遵循"投入/回报/回收期/关键风险"四件套</t>
        </is>
      </c>
    </row>
    <row r="4">
      <c r="A4" s="12" t="inlineStr">
        <is>
          <t>#</t>
        </is>
      </c>
      <c r="B4" s="12" t="inlineStr">
        <is>
          <t>问题</t>
        </is>
      </c>
      <c r="C4" s="12" t="inlineStr">
        <is>
          <t>量化影响</t>
        </is>
      </c>
      <c r="D4" s="12" t="inlineStr">
        <is>
          <t>根因</t>
        </is>
      </c>
      <c r="E4" s="12" t="inlineStr">
        <is>
          <t>改进路径</t>
        </is>
      </c>
      <c r="F4" s="12" t="inlineStr">
        <is>
          <t>量化潜力 / 风险</t>
        </is>
      </c>
    </row>
    <row r="5" ht="50" customHeight="1">
      <c r="A5" s="57" t="inlineStr">
        <is>
          <t>#1</t>
        </is>
      </c>
      <c r="B5" s="24" t="inlineStr">
        <is>
          <t>单店日销持续下行</t>
        </is>
      </c>
      <c r="C5" s="13" t="inlineStr">
        <is>
          <t>9M2024 单店日销 4,184元（FY23 4,128，但9M2023同期4,416）→ 同比-5.3%</t>
        </is>
      </c>
      <c r="D5" s="13" t="inlineStr">
        <is>
          <t>新茶饮赛道竞争白热化（霸王、古茗、茶百道）+ 消费力疲弱</t>
        </is>
      </c>
      <c r="E5" s="13" t="inlineStr">
        <is>
          <t>新品高频迭代 + 88VIP式会员体系 + 区域差异化定价</t>
        </is>
      </c>
      <c r="F5" s="13" t="inlineStr">
        <is>
          <t>单店日销修复+5% ≈ 营收+15亿；风险：研发新品成功率仅20%</t>
        </is>
      </c>
    </row>
    <row r="6" ht="50" customHeight="1">
      <c r="A6" s="57" t="inlineStr">
        <is>
          <t>#2</t>
        </is>
      </c>
      <c r="B6" s="24" t="inlineStr">
        <is>
          <t>海外扩张节奏过慢</t>
        </is>
      </c>
      <c r="C6" s="13" t="inlineStr">
        <is>
          <t>已进入11国但海外门店仅 ~4,000家，海外营收占比 &lt; 5%</t>
        </is>
      </c>
      <c r="D6" s="13" t="inlineStr">
        <is>
          <t>本地化供应链未建立，依赖中国出口物流成本高</t>
        </is>
      </c>
      <c r="E6" s="13" t="inlineStr">
        <is>
          <t>印尼/越南建本地工厂（参考雀巢东南亚战略）</t>
        </is>
      </c>
      <c r="F6" s="13" t="inlineStr">
        <is>
          <t>3年海外达1万店，海外营收占比15%（≈30亿）；风险：文化适配</t>
        </is>
      </c>
    </row>
    <row r="7" ht="50" customHeight="1">
      <c r="A7" s="57" t="inlineStr">
        <is>
          <t>#3</t>
        </is>
      </c>
      <c r="B7" s="24" t="inlineStr">
        <is>
          <t>幸运咖品牌弱</t>
        </is>
      </c>
      <c r="C7" s="13" t="inlineStr">
        <is>
          <t>咖啡品牌仅~4,000家店，远低于瑞幸20,000家</t>
        </is>
      </c>
      <c r="D7" s="13" t="inlineStr">
        <is>
          <t>蜜雪品牌定位与咖啡品质冲突，独立运营投入不足</t>
        </is>
      </c>
      <c r="E7" s="13" t="inlineStr">
        <is>
          <t>完全独立运营+独立资本市场故事；或战略性收缩</t>
        </is>
      </c>
      <c r="F7" s="13" t="inlineStr">
        <is>
          <t>3年到6,000家店 ≈ 营收+10亿；风险：瑞幸/库迪挤压</t>
        </is>
      </c>
    </row>
    <row r="8" ht="50" customHeight="1">
      <c r="A8" s="57" t="inlineStr">
        <is>
          <t>#4</t>
        </is>
      </c>
      <c r="B8" s="24" t="inlineStr">
        <is>
          <t>加盟商盈利压力（最关键）</t>
        </is>
      </c>
      <c r="C8" s="13" t="inlineStr">
        <is>
          <t>单店日销下行 + 租金/人工刚性 → 加盟商投资回收期从~1.5年延长至~2.2年</t>
        </is>
      </c>
      <c r="D8" s="13" t="inlineStr">
        <is>
          <t>下沉市场租金/人工不降反升，加盟商投入回报恶化</t>
        </is>
      </c>
      <c r="E8" s="13" t="inlineStr">
        <is>
          <t>原料降价让利 + 总部数字化降本工具 + 关店补贴</t>
        </is>
      </c>
      <c r="F8" s="13" t="inlineStr">
        <is>
          <t>保住底层加盟商生态（最大风险点）；风险：毛利率被压</t>
        </is>
      </c>
    </row>
    <row r="9" ht="50" customHeight="1">
      <c r="A9" s="57" t="inlineStr">
        <is>
          <t>#5</t>
        </is>
      </c>
      <c r="B9" s="24" t="inlineStr">
        <is>
          <t>原料成本波动（鲜柠檬/糖/茶叶）</t>
        </is>
      </c>
      <c r="C9" s="13" t="inlineStr">
        <is>
          <t>原料成本占比 ~50%，PB1.5%波动 = 净利-15%</t>
        </is>
      </c>
      <c r="D9" s="13" t="inlineStr">
        <is>
          <t>天气/进口政策/全球大宗商品周期</t>
        </is>
      </c>
      <c r="E9" s="13" t="inlineStr">
        <is>
          <t>扩大自有种植基地 + 多产地分散 + 期货套保</t>
        </is>
      </c>
      <c r="F9" s="13" t="inlineStr">
        <is>
          <t>降低成本波动率10pct；风险：套保操作失误</t>
        </is>
      </c>
    </row>
    <row r="11" ht="22" customHeight="1">
      <c r="A11" s="15" t="inlineStr">
        <is>
          <t>【BP 量化行动建议（投入/回报/回收期/风险四件套）】</t>
        </is>
      </c>
    </row>
    <row r="12">
      <c r="A12" s="12" t="inlineStr">
        <is>
          <t>行动</t>
        </is>
      </c>
      <c r="B12" s="12" t="inlineStr">
        <is>
          <t>投入</t>
        </is>
      </c>
      <c r="C12" s="12" t="inlineStr">
        <is>
          <t>回报</t>
        </is>
      </c>
      <c r="D12" s="12" t="inlineStr">
        <is>
          <t>回收期</t>
        </is>
      </c>
      <c r="E12" s="12" t="inlineStr">
        <is>
          <t>关键风险</t>
        </is>
      </c>
      <c r="F12" s="12" t="inlineStr"/>
    </row>
    <row r="13" ht="50" customHeight="1">
      <c r="A13" s="24" t="inlineStr">
        <is>
          <t>海外拓店：东南亚 +1500 家（重点印尼/越南/马来）</t>
        </is>
      </c>
      <c r="B13" s="13" t="inlineStr">
        <is>
          <t>海外CapEx +8亿/年；本地运营+品牌投入+5亿/年（合计13亿）</t>
        </is>
      </c>
      <c r="C13" s="13" t="inlineStr">
        <is>
          <t>新增 GMV ~25亿（按单店日销1500元）；CMR-equivalent 收入 +12亿</t>
        </is>
      </c>
      <c r="D13" s="39" t="inlineStr">
        <is>
          <t>~2.5年（含品牌建设期）</t>
        </is>
      </c>
      <c r="E13" s="13" t="inlineStr">
        <is>
          <t>本地化运营、文化差异、外汇波动；Temu/拼多多式快速失败风险</t>
        </is>
      </c>
      <c r="F13" s="13" t="inlineStr"/>
    </row>
    <row r="14" ht="50" customHeight="1">
      <c r="A14" s="24" t="inlineStr">
        <is>
          <t>国内单店日销修复：+5% AOV / +3% 频次</t>
        </is>
      </c>
      <c r="B14" s="13" t="inlineStr">
        <is>
          <t>新品研发 +1亿/年；门店设备升级 +3亿（5年摊销）</t>
        </is>
      </c>
      <c r="C14" s="13" t="inlineStr">
        <is>
          <t>存量4.5万家店 × 单店日销+5% × 365 = +30亿GMV；净利+5亿</t>
        </is>
      </c>
      <c r="D14" s="39" t="inlineStr">
        <is>
          <t>~1.5年</t>
        </is>
      </c>
      <c r="E14" s="13" t="inlineStr">
        <is>
          <t>新品爆款率低（目前年新品成功率 ~20%）；竞品快速跟进</t>
        </is>
      </c>
      <c r="F14" s="13" t="inlineStr"/>
    </row>
    <row r="15" ht="50" customHeight="1">
      <c r="A15" s="24" t="inlineStr">
        <is>
          <t>加盟商盈利改善：原料降价1.5%给加盟商让利</t>
        </is>
      </c>
      <c r="B15" s="13" t="inlineStr">
        <is>
          <t>牺牲毛利率 ~0.5pct（年影响 -3亿）</t>
        </is>
      </c>
      <c r="C15" s="13" t="inlineStr">
        <is>
          <t>降低加盟商关店率 ~2pct；保住 ~900家边缘店；GMV保住 ~10亿</t>
        </is>
      </c>
      <c r="D15" s="39" t="inlineStr">
        <is>
          <t>—（防御性投入）</t>
        </is>
      </c>
      <c r="E15" s="13" t="inlineStr">
        <is>
          <t>毛利率压制估值；让利后能否真正传导到加盟商执行待观察</t>
        </is>
      </c>
      <c r="F15" s="13" t="inlineStr"/>
    </row>
    <row r="16" ht="50" customHeight="1">
      <c r="A16" s="24" t="inlineStr">
        <is>
          <t>幸运咖（咖啡品牌）独立扩张</t>
        </is>
      </c>
      <c r="B16" s="13" t="inlineStr">
        <is>
          <t>独立品牌建设 +5亿/年；新店CapEx随单店扩张</t>
        </is>
      </c>
      <c r="C16" s="13" t="inlineStr">
        <is>
          <t>对标瑞幸：3年开6,000家店，对标GMV ~30亿</t>
        </is>
      </c>
      <c r="D16" s="39" t="inlineStr">
        <is>
          <t>~3年（若复制蜜雪供应链优势可加速）</t>
        </is>
      </c>
      <c r="E16" s="13" t="inlineStr">
        <is>
          <t>咖啡赛道瑞幸+库迪格局已成；蜜雪幸运咖品牌力弱</t>
        </is>
      </c>
      <c r="F16" s="13" t="inlineStr"/>
    </row>
  </sheetData>
  <mergeCells count="3">
    <mergeCell ref="A2:F2"/>
    <mergeCell ref="A11:F11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16" customWidth="1" min="3" max="3"/>
    <col width="16" customWidth="1" min="4" max="4"/>
    <col width="22" customWidth="1" min="5" max="5"/>
    <col width="14" customWidth="1" min="6" max="6"/>
  </cols>
  <sheetData>
    <row r="1" ht="36" customHeight="1">
      <c r="A1" s="1" t="inlineStr">
        <is>
          <t>12 项核心监控 KPI（连锁餐饮版）</t>
        </is>
      </c>
    </row>
    <row r="2" ht="22" customHeight="1">
      <c r="A2" s="2" t="inlineStr">
        <is>
          <t>关键 KPI 浅黄高亮 + 预警阈值红字</t>
        </is>
      </c>
    </row>
    <row r="4">
      <c r="A4" s="12" t="inlineStr">
        <is>
          <t>#</t>
        </is>
      </c>
      <c r="B4" s="12" t="inlineStr">
        <is>
          <t>KPI</t>
        </is>
      </c>
      <c r="C4" s="12" t="inlineStr">
        <is>
          <t>口径</t>
        </is>
      </c>
      <c r="D4" s="12" t="inlineStr">
        <is>
          <t>目标值</t>
        </is>
      </c>
      <c r="E4" s="12" t="inlineStr">
        <is>
          <t>预警阈值</t>
        </is>
      </c>
      <c r="F4" s="12" t="inlineStr">
        <is>
          <t>负责部门</t>
        </is>
      </c>
    </row>
    <row r="5">
      <c r="A5" s="39" t="n">
        <v>1</v>
      </c>
      <c r="B5" s="13" t="inlineStr">
        <is>
          <t>门店净增数</t>
        </is>
      </c>
      <c r="C5" s="13" t="inlineStr">
        <is>
          <t>月度</t>
        </is>
      </c>
      <c r="D5" s="17" t="inlineStr">
        <is>
          <t>+800/月</t>
        </is>
      </c>
      <c r="E5" s="17" t="inlineStr">
        <is>
          <t>&lt;+500/月</t>
        </is>
      </c>
      <c r="F5" s="13" t="inlineStr">
        <is>
          <t>拓店BD</t>
        </is>
      </c>
    </row>
    <row r="6">
      <c r="A6" s="39" t="n">
        <v>2</v>
      </c>
      <c r="B6" s="13" t="inlineStr">
        <is>
          <t>新店爬坡曲线</t>
        </is>
      </c>
      <c r="C6" s="13" t="inlineStr">
        <is>
          <t>开业6月日销</t>
        </is>
      </c>
      <c r="D6" s="17" t="inlineStr">
        <is>
          <t>≥3500元</t>
        </is>
      </c>
      <c r="E6" s="17" t="inlineStr">
        <is>
          <t>&lt;3000元</t>
        </is>
      </c>
      <c r="F6" s="13" t="inlineStr">
        <is>
          <t>运营</t>
        </is>
      </c>
    </row>
    <row r="7">
      <c r="A7" s="39" t="n">
        <v>3</v>
      </c>
      <c r="B7" s="13" t="inlineStr">
        <is>
          <t>同店GMV YoY</t>
        </is>
      </c>
      <c r="C7" s="13" t="inlineStr">
        <is>
          <t>滚动12月</t>
        </is>
      </c>
      <c r="D7" s="17" t="inlineStr">
        <is>
          <t>+0%~+3%</t>
        </is>
      </c>
      <c r="E7" s="17" t="inlineStr">
        <is>
          <t>&lt;-3%</t>
        </is>
      </c>
      <c r="F7" s="13" t="inlineStr">
        <is>
          <t>运营+市场</t>
        </is>
      </c>
    </row>
    <row r="8">
      <c r="A8" s="58" t="n">
        <v>4</v>
      </c>
      <c r="B8" s="18" t="inlineStr">
        <is>
          <t>加盟商关店率</t>
        </is>
      </c>
      <c r="C8" s="18" t="inlineStr">
        <is>
          <t>TTM</t>
        </is>
      </c>
      <c r="D8" s="22" t="inlineStr">
        <is>
          <t>&lt;3%</t>
        </is>
      </c>
      <c r="E8" s="59" t="inlineStr">
        <is>
          <t>&gt;5%</t>
        </is>
      </c>
      <c r="F8" s="18" t="inlineStr">
        <is>
          <t>BD+品控</t>
        </is>
      </c>
    </row>
    <row r="9">
      <c r="A9" s="58" t="n">
        <v>5</v>
      </c>
      <c r="B9" s="18" t="inlineStr">
        <is>
          <t>单店日均GMV</t>
        </is>
      </c>
      <c r="C9" s="18" t="inlineStr">
        <is>
          <t>月度</t>
        </is>
      </c>
      <c r="D9" s="22" t="inlineStr">
        <is>
          <t>≥4200元</t>
        </is>
      </c>
      <c r="E9" s="59" t="inlineStr">
        <is>
          <t>&lt;3800元</t>
        </is>
      </c>
      <c r="F9" s="18" t="inlineStr">
        <is>
          <t>运营</t>
        </is>
      </c>
    </row>
    <row r="10">
      <c r="A10" s="39" t="n">
        <v>6</v>
      </c>
      <c r="B10" s="13" t="inlineStr">
        <is>
          <t>毛利率</t>
        </is>
      </c>
      <c r="C10" s="13" t="inlineStr">
        <is>
          <t>季度</t>
        </is>
      </c>
      <c r="D10" s="17" t="inlineStr">
        <is>
          <t>≥31%</t>
        </is>
      </c>
      <c r="E10" s="17" t="inlineStr">
        <is>
          <t>&lt;29%</t>
        </is>
      </c>
      <c r="F10" s="13" t="inlineStr">
        <is>
          <t>供应链</t>
        </is>
      </c>
    </row>
    <row r="11">
      <c r="A11" s="39" t="n">
        <v>7</v>
      </c>
      <c r="B11" s="13" t="inlineStr">
        <is>
          <t>原料CR3集中度</t>
        </is>
      </c>
      <c r="C11" s="13" t="inlineStr">
        <is>
          <t>季度</t>
        </is>
      </c>
      <c r="D11" s="17" t="inlineStr">
        <is>
          <t>&lt;60%</t>
        </is>
      </c>
      <c r="E11" s="17" t="inlineStr">
        <is>
          <t>&gt;70%</t>
        </is>
      </c>
      <c r="F11" s="13" t="inlineStr">
        <is>
          <t>采购</t>
        </is>
      </c>
    </row>
    <row r="12">
      <c r="A12" s="39" t="n">
        <v>8</v>
      </c>
      <c r="B12" s="13" t="inlineStr">
        <is>
          <t>库存周转天数</t>
        </is>
      </c>
      <c r="C12" s="13" t="inlineStr">
        <is>
          <t>月度</t>
        </is>
      </c>
      <c r="D12" s="17" t="inlineStr">
        <is>
          <t>≤25天</t>
        </is>
      </c>
      <c r="E12" s="17" t="inlineStr">
        <is>
          <t>&gt;35天</t>
        </is>
      </c>
      <c r="F12" s="13" t="inlineStr">
        <is>
          <t>供应链</t>
        </is>
      </c>
    </row>
    <row r="13">
      <c r="A13" s="39" t="n">
        <v>9</v>
      </c>
      <c r="B13" s="13" t="inlineStr">
        <is>
          <t>净利率</t>
        </is>
      </c>
      <c r="C13" s="13" t="inlineStr">
        <is>
          <t>季度</t>
        </is>
      </c>
      <c r="D13" s="17" t="inlineStr">
        <is>
          <t>≥17%</t>
        </is>
      </c>
      <c r="E13" s="17" t="inlineStr">
        <is>
          <t>&lt;14%</t>
        </is>
      </c>
      <c r="F13" s="13" t="inlineStr">
        <is>
          <t>CFO+BP</t>
        </is>
      </c>
    </row>
    <row r="14">
      <c r="A14" s="39" t="n">
        <v>10</v>
      </c>
      <c r="B14" s="13" t="inlineStr">
        <is>
          <t>经营性现金流</t>
        </is>
      </c>
      <c r="C14" s="13" t="inlineStr">
        <is>
          <t>季度披露</t>
        </is>
      </c>
      <c r="D14" s="17" t="inlineStr">
        <is>
          <t>&gt;15亿/季</t>
        </is>
      </c>
      <c r="E14" s="17" t="inlineStr">
        <is>
          <t>&lt;10亿</t>
        </is>
      </c>
      <c r="F14" s="13" t="inlineStr">
        <is>
          <t>财务部</t>
        </is>
      </c>
    </row>
    <row r="15">
      <c r="A15" s="39" t="n">
        <v>11</v>
      </c>
      <c r="B15" s="13" t="inlineStr">
        <is>
          <t>海外GMV占比</t>
        </is>
      </c>
      <c r="C15" s="13" t="inlineStr">
        <is>
          <t>季度</t>
        </is>
      </c>
      <c r="D15" s="17" t="inlineStr">
        <is>
          <t>+1pct/年</t>
        </is>
      </c>
      <c r="E15" s="17" t="inlineStr">
        <is>
          <t>&lt;+0.5pct</t>
        </is>
      </c>
      <c r="F15" s="13" t="inlineStr">
        <is>
          <t>海外BU</t>
        </is>
      </c>
    </row>
    <row r="16">
      <c r="A16" s="39" t="n">
        <v>12</v>
      </c>
      <c r="B16" s="13" t="inlineStr">
        <is>
          <t>加盟商NPS</t>
        </is>
      </c>
      <c r="C16" s="13" t="inlineStr">
        <is>
          <t>半年</t>
        </is>
      </c>
      <c r="D16" s="17" t="inlineStr">
        <is>
          <t>≥45</t>
        </is>
      </c>
      <c r="E16" s="17" t="inlineStr">
        <is>
          <t>&lt;35</t>
        </is>
      </c>
      <c r="F16" s="13" t="inlineStr">
        <is>
          <t>BD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2" customWidth="1" min="3" max="3"/>
    <col width="16" customWidth="1" min="4" max="4"/>
  </cols>
  <sheetData>
    <row r="1" ht="36" customHeight="1">
      <c r="A1" s="1" t="inlineStr">
        <is>
          <t>口径声明 + 关键估算假设</t>
        </is>
      </c>
    </row>
    <row r="2" ht="22" customHeight="1">
      <c r="A2" s="2" t="inlineStr">
        <is>
          <t>Word 报告附录 A 的完整版</t>
        </is>
      </c>
    </row>
    <row r="4">
      <c r="A4" s="12" t="inlineStr">
        <is>
          <t>类别</t>
        </is>
      </c>
      <c r="B4" s="12" t="inlineStr">
        <is>
          <t>口径 / 假设</t>
        </is>
      </c>
      <c r="C4" s="12" t="inlineStr">
        <is>
          <t>依据</t>
        </is>
      </c>
      <c r="D4" s="12" t="inlineStr">
        <is>
          <t>敏感性区间</t>
        </is>
      </c>
    </row>
    <row r="5">
      <c r="A5" s="24" t="inlineStr">
        <is>
          <t>财年口径</t>
        </is>
      </c>
      <c r="B5" s="13" t="inlineStr">
        <is>
          <t>FY21/22/23 + 9M2024</t>
        </is>
      </c>
      <c r="C5" s="13" t="inlineStr">
        <is>
          <t>蜜雪招股书 P15-20</t>
        </is>
      </c>
      <c r="D5" s="39" t="inlineStr">
        <is>
          <t>—</t>
        </is>
      </c>
    </row>
    <row r="6">
      <c r="A6" s="24" t="inlineStr">
        <is>
          <t>会计准则</t>
        </is>
      </c>
      <c r="B6" s="13" t="inlineStr">
        <is>
          <t>IFRS</t>
        </is>
      </c>
      <c r="C6" s="13" t="inlineStr">
        <is>
          <t>港股上市标准</t>
        </is>
      </c>
      <c r="D6" s="39" t="inlineStr">
        <is>
          <t>—</t>
        </is>
      </c>
    </row>
    <row r="7">
      <c r="A7" s="24" t="inlineStr">
        <is>
          <t>货币</t>
        </is>
      </c>
      <c r="B7" s="13" t="inlineStr">
        <is>
          <t>人民币元</t>
        </is>
      </c>
      <c r="C7" s="13" t="inlineStr">
        <is>
          <t>若无说明均为 RMB</t>
        </is>
      </c>
      <c r="D7" s="39" t="inlineStr">
        <is>
          <t>—</t>
        </is>
      </c>
    </row>
    <row r="8">
      <c r="A8" s="24" t="inlineStr">
        <is>
          <t>门店数 ●</t>
        </is>
      </c>
      <c r="B8" s="13" t="inlineStr">
        <is>
          <t>含中国+海外 11 国，含自营+加盟</t>
        </is>
      </c>
      <c r="C8" s="13" t="inlineStr">
        <is>
          <t>9M2024 末 45,302 家</t>
        </is>
      </c>
      <c r="D8" s="39" t="inlineStr">
        <is>
          <t>—</t>
        </is>
      </c>
    </row>
    <row r="9">
      <c r="A9" s="24" t="inlineStr">
        <is>
          <t>GMV ●</t>
        </is>
      </c>
      <c r="B9" s="13" t="inlineStr">
        <is>
          <t>全部门店实际成交额（消费者支付）</t>
        </is>
      </c>
      <c r="C9" s="13" t="inlineStr">
        <is>
          <t>非蜜雪集团收入</t>
        </is>
      </c>
      <c r="D9" s="39" t="inlineStr">
        <is>
          <t>—</t>
        </is>
      </c>
    </row>
    <row r="10">
      <c r="A10" s="24" t="inlineStr">
        <is>
          <t>蜜雪营收 ●</t>
        </is>
      </c>
      <c r="B10" s="13" t="inlineStr">
        <is>
          <t>向加盟商销售商品/设备 + 加盟服务费</t>
        </is>
      </c>
      <c r="C10" s="13" t="inlineStr">
        <is>
          <t>不等于 GMV</t>
        </is>
      </c>
      <c r="D10" s="39" t="inlineStr">
        <is>
          <t>—</t>
        </is>
      </c>
    </row>
    <row r="11">
      <c r="A11" s="24" t="inlineStr">
        <is>
          <t>单店UE ⚠</t>
        </is>
      </c>
      <c r="B11" s="13" t="inlineStr">
        <is>
          <t>租金/人工基于行业研究估算</t>
        </is>
      </c>
      <c r="C11" s="13" t="inlineStr">
        <is>
          <t>招股书未直接披露加盟商成本</t>
        </is>
      </c>
      <c r="D11" s="39" t="inlineStr">
        <is>
          <t>±10%</t>
        </is>
      </c>
    </row>
    <row r="12">
      <c r="A12" s="24" t="inlineStr">
        <is>
          <t>13周CF ⚠</t>
        </is>
      </c>
      <c r="B12" s="13" t="inlineStr">
        <is>
          <t>季节性按 9M2024 经营性CF/39 周拆分</t>
        </is>
      </c>
      <c r="C12" s="13" t="inlineStr">
        <is>
          <t>Q4 双 11/双 12 弱、春节前补货强</t>
        </is>
      </c>
      <c r="D12" s="39" t="inlineStr">
        <is>
          <t>±15%</t>
        </is>
      </c>
    </row>
    <row r="13">
      <c r="A13" s="24" t="inlineStr">
        <is>
          <t>敏感性基准</t>
        </is>
      </c>
      <c r="B13" s="13" t="inlineStr">
        <is>
          <t>店数 +15%, 单店日销 -3%, 毛利率 32%</t>
        </is>
      </c>
      <c r="C13" s="13" t="inlineStr">
        <is>
          <t>维持 9M2024 趋势</t>
        </is>
      </c>
      <c r="D13" s="39" t="inlineStr">
        <is>
          <t>见 7_FY26情景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32" customWidth="1" min="3" max="3"/>
    <col width="32" customWidth="1" min="4" max="4"/>
  </cols>
  <sheetData>
    <row r="1" ht="36" customHeight="1">
      <c r="A1" s="1" t="inlineStr">
        <is>
          <t>数据源 + 在哪一节查找</t>
        </is>
      </c>
    </row>
    <row r="2" ht="22" customHeight="1">
      <c r="A2" s="2" t="inlineStr">
        <is>
          <t>Word 报告附录 B</t>
        </is>
      </c>
    </row>
    <row r="4">
      <c r="A4" s="12" t="inlineStr">
        <is>
          <t>类别</t>
        </is>
      </c>
      <c r="B4" s="12" t="inlineStr">
        <is>
          <t>来源</t>
        </is>
      </c>
      <c r="C4" s="12" t="inlineStr">
        <is>
          <t>URL</t>
        </is>
      </c>
      <c r="D4" s="12" t="inlineStr">
        <is>
          <t>查找路径</t>
        </is>
      </c>
    </row>
    <row r="5">
      <c r="A5" s="24" t="inlineStr">
        <is>
          <t>蜜雪招股书</t>
        </is>
      </c>
      <c r="B5" s="13" t="inlineStr">
        <is>
          <t>港交所披露易（2097.HK）</t>
        </is>
      </c>
      <c r="C5" s="60" t="inlineStr">
        <is>
          <t>https://www1.hkexnews.hk/</t>
        </is>
      </c>
      <c r="D5" s="13" t="inlineStr">
        <is>
          <t>2025.02.21 全球发售文件</t>
        </is>
      </c>
    </row>
    <row r="6">
      <c r="A6" s="24" t="inlineStr">
        <is>
          <t>蜜雪 IR</t>
        </is>
      </c>
      <c r="B6" s="13" t="inlineStr">
        <is>
          <t>蜜雪 IR 官网</t>
        </is>
      </c>
      <c r="C6" s="60" t="inlineStr">
        <is>
          <t>https://ir.mxbc.com</t>
        </is>
      </c>
      <c r="D6" s="13" t="inlineStr">
        <is>
          <t>财务报告 / 公告披露</t>
        </is>
      </c>
    </row>
    <row r="7">
      <c r="A7" s="24" t="inlineStr">
        <is>
          <t>新茶饮行业</t>
        </is>
      </c>
      <c r="B7" s="13" t="inlineStr">
        <is>
          <t>CIC 灼识咨询</t>
        </is>
      </c>
      <c r="C7" s="60" t="inlineStr">
        <is>
          <t>—</t>
        </is>
      </c>
      <c r="D7" s="13" t="inlineStr">
        <is>
          <t>招股书"行业概览" P113-134</t>
        </is>
      </c>
    </row>
    <row r="8">
      <c r="A8" s="24" t="inlineStr">
        <is>
          <t>古茗对标</t>
        </is>
      </c>
      <c r="B8" s="13" t="inlineStr">
        <is>
          <t>港交所披露易（1364.HK）</t>
        </is>
      </c>
      <c r="C8" s="60" t="inlineStr">
        <is>
          <t>https://www1.hkexnews.hk/</t>
        </is>
      </c>
      <c r="D8" s="13" t="inlineStr">
        <is>
          <t>古茗招股书</t>
        </is>
      </c>
    </row>
    <row r="9">
      <c r="A9" s="24" t="inlineStr">
        <is>
          <t>茶百道对标</t>
        </is>
      </c>
      <c r="B9" s="13" t="inlineStr">
        <is>
          <t>港交所披露易（2555.HK）</t>
        </is>
      </c>
      <c r="C9" s="60" t="inlineStr">
        <is>
          <t>https://www1.hkexnews.hk/</t>
        </is>
      </c>
      <c r="D9" s="13" t="inlineStr">
        <is>
          <t>茶百道招股书</t>
        </is>
      </c>
    </row>
    <row r="10">
      <c r="A10" s="24" t="inlineStr">
        <is>
          <t>第三方研究</t>
        </is>
      </c>
      <c r="B10" s="13" t="inlineStr">
        <is>
          <t>中金/高盛/中信新茶饮深度</t>
        </is>
      </c>
      <c r="C10" s="60" t="inlineStr">
        <is>
          <t>—</t>
        </is>
      </c>
      <c r="D10" s="13" t="inlineStr">
        <is>
          <t>慧博投研 / 远瞻智库</t>
        </is>
      </c>
    </row>
    <row r="11">
      <c r="A11" s="24" t="inlineStr">
        <is>
          <t>行业大盘</t>
        </is>
      </c>
      <c r="B11" s="13" t="inlineStr">
        <is>
          <t>国家统计局</t>
        </is>
      </c>
      <c r="C11" s="60" t="inlineStr">
        <is>
          <t>http://www.stats.gov.cn/</t>
        </is>
      </c>
      <c r="D11" s="13" t="inlineStr">
        <is>
          <t>餐饮业季度数据</t>
        </is>
      </c>
    </row>
    <row r="12">
      <c r="A12" s="24" t="inlineStr">
        <is>
          <t>综合</t>
        </is>
      </c>
      <c r="B12" s="13" t="inlineStr">
        <is>
          <t>雪球</t>
        </is>
      </c>
      <c r="C12" s="60" t="inlineStr">
        <is>
          <t>https://xueqiu.com/</t>
        </is>
      </c>
      <c r="D12" s="13" t="inlineStr">
        <is>
          <t>F10 → 财务数据</t>
        </is>
      </c>
    </row>
  </sheetData>
  <mergeCells count="2">
    <mergeCell ref="A1:D1"/>
    <mergeCell ref="A2:D2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8" r:id="rId3"/>
    <hyperlink xmlns:r="http://schemas.openxmlformats.org/officeDocument/2006/relationships" ref="C9" r:id="rId4"/>
    <hyperlink xmlns:r="http://schemas.openxmlformats.org/officeDocument/2006/relationships" ref="C11" r:id="rId5"/>
    <hyperlink xmlns:r="http://schemas.openxmlformats.org/officeDocument/2006/relationships" ref="C12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2026-05-31T13:40:53Z</dcterms:created>
  <dcterms:modified xmlns:dcterms="http://purl.org/dc/terms/" xmlns:xsi="http://www.w3.org/2001/XMLSchema-instance" xsi:type="dcterms:W3CDTF">2026-05-31T13:40:53Z</dcterms:modified>
</cp:coreProperties>
</file>