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市场份额测算" sheetId="2" state="visible" r:id="rId2"/>
    <sheet xmlns:r="http://schemas.openxmlformats.org/officeDocument/2006/relationships" name="2_收入结构拆解" sheetId="3" state="visible" r:id="rId3"/>
    <sheet xmlns:r="http://schemas.openxmlformats.org/officeDocument/2006/relationships" name="3_PL_Bridge" sheetId="4" state="visible" r:id="rId4"/>
    <sheet xmlns:r="http://schemas.openxmlformats.org/officeDocument/2006/relationships" name="4_UE单位经济模型" sheetId="5" state="visible" r:id="rId5"/>
    <sheet xmlns:r="http://schemas.openxmlformats.org/officeDocument/2006/relationships" name="5_驱动因子树" sheetId="6" state="visible" r:id="rId6"/>
    <sheet xmlns:r="http://schemas.openxmlformats.org/officeDocument/2006/relationships" name="6_同业对标" sheetId="7" state="visible" r:id="rId7"/>
    <sheet xmlns:r="http://schemas.openxmlformats.org/officeDocument/2006/relationships" name="7_敏感性与情景" sheetId="8" state="visible" r:id="rId8"/>
    <sheet xmlns:r="http://schemas.openxmlformats.org/officeDocument/2006/relationships" name="8_问题诊断与建议" sheetId="9" state="visible" r:id="rId9"/>
    <sheet xmlns:r="http://schemas.openxmlformats.org/officeDocument/2006/relationships" name="9_口径与假设" sheetId="10" state="visible" r:id="rId10"/>
    <sheet xmlns:r="http://schemas.openxmlformats.org/officeDocument/2006/relationships" name="10_数据源链接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\+#,##0;\-#,##0;0"/>
    <numFmt numFmtId="166" formatCode="\+0.0;\-0.0"/>
    <numFmt numFmtId="167" formatCode="\+#,##0"/>
    <numFmt numFmtId="168" formatCode="\+0.0%"/>
    <numFmt numFmtId="169" formatCode="0.0%"/>
    <numFmt numFmtId="170" formatCode="_ * #,##0.0_ ;_ * \-#,##0.0_ ;_ * &quot;-&quot;??_ ;_ @_ "/>
  </numFmts>
  <fonts count="30">
    <font>
      <name val="宋体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4748B"/>
      <sz val="9"/>
    </font>
    <font>
      <name val="Calibri"/>
      <b val="1"/>
      <color rgb="FF0F172A"/>
      <sz val="10"/>
    </font>
    <font>
      <name val="Calibri"/>
      <color rgb="FF0F172A"/>
      <sz val="10"/>
    </font>
    <font>
      <name val="Calibri"/>
      <b val="1"/>
      <color rgb="FFB91C1C"/>
      <sz val="10"/>
    </font>
    <font>
      <name val="Calibri"/>
      <b val="1"/>
      <color rgb="FF047857"/>
      <sz val="10"/>
    </font>
    <font>
      <name val="Calibri"/>
      <b val="1"/>
      <color rgb="FFB45309"/>
      <sz val="10"/>
    </font>
    <font>
      <name val="Calibri"/>
      <b val="1"/>
      <color rgb="FF1E3A8A"/>
      <sz val="10"/>
    </font>
    <font>
      <name val="Calibri"/>
      <b val="1"/>
      <color rgb="FFFFFFFF"/>
      <sz val="11"/>
    </font>
    <font>
      <name val="Calibri"/>
      <color rgb="FF1E293B"/>
      <sz val="10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F172A"/>
      <sz val="10"/>
    </font>
    <font>
      <name val="Calibri"/>
      <family val="2"/>
      <b val="1"/>
      <color rgb="FFFFFFFF"/>
      <sz val="11"/>
    </font>
    <font>
      <name val="微软雅黑"/>
      <charset val="134"/>
      <family val="2"/>
      <color rgb="FF0F172A"/>
      <sz val="10"/>
    </font>
    <font>
      <name val="Calibri"/>
      <family val="2"/>
      <color rgb="FF0F172A"/>
      <sz val="10"/>
    </font>
    <font>
      <name val="Segoe UI Symbol"/>
      <family val="2"/>
      <color rgb="FF0F172A"/>
      <sz val="10"/>
    </font>
    <font>
      <name val="Calibri"/>
      <charset val="134"/>
      <family val="2"/>
      <color rgb="FF0F172A"/>
      <sz val="10"/>
    </font>
    <font>
      <name val="宋体"/>
      <charset val="134"/>
      <family val="2"/>
      <color rgb="FF0F172A"/>
      <sz val="10"/>
    </font>
    <font>
      <name val="等线"/>
      <charset val="134"/>
      <family val="3"/>
      <color rgb="FF0F172A"/>
      <sz val="10"/>
    </font>
    <font>
      <name val="Calibri"/>
      <charset val="134"/>
      <family val="3"/>
      <color rgb="FF0F172A"/>
      <sz val="10"/>
    </font>
    <font>
      <name val="Calibri"/>
      <family val="2"/>
      <b val="1"/>
      <color rgb="FF0F172A"/>
      <sz val="10"/>
    </font>
    <font>
      <name val="微软雅黑"/>
      <charset val="134"/>
      <family val="2"/>
      <b val="1"/>
      <color rgb="FF0F172A"/>
      <sz val="10"/>
    </font>
    <font>
      <name val="等线"/>
      <charset val="134"/>
      <family val="2"/>
      <color rgb="FF0F172A"/>
      <sz val="10"/>
    </font>
    <font>
      <name val="Calibri"/>
      <family val="2"/>
      <color rgb="FF1E293B"/>
      <sz val="10"/>
    </font>
    <font>
      <name val="微软雅黑"/>
      <charset val="134"/>
      <family val="2"/>
      <color rgb="FF1E293B"/>
      <sz val="10"/>
    </font>
    <font>
      <name val="等线"/>
      <charset val="134"/>
      <family val="2"/>
      <color rgb="FF1E293B"/>
      <sz val="10"/>
    </font>
    <font>
      <name val="宋体"/>
      <charset val="134"/>
      <family val="2"/>
      <color rgb="FF1E293B"/>
      <sz val="10"/>
    </font>
    <font>
      <name val="Calibri"/>
      <charset val="134"/>
      <family val="2"/>
      <color rgb="FF1E293B"/>
      <sz val="10"/>
    </font>
  </fonts>
  <fills count="13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3">
    <xf numFmtId="0" fontId="11" fillId="0" borderId="0"/>
    <xf numFmtId="43" fontId="11" fillId="0" borderId="0" applyAlignment="1">
      <alignment vertical="center"/>
    </xf>
    <xf numFmtId="9" fontId="11" fillId="0" borderId="0" applyAlignment="1">
      <alignment vertical="center"/>
    </xf>
  </cellStyleXfs>
  <cellXfs count="109">
    <xf numFmtId="0" fontId="0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2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2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0" fontId="3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1" fontId="4" fillId="8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168" fontId="3" fillId="6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0" fillId="6" borderId="0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center" vertical="center" wrapText="1"/>
    </xf>
    <xf numFmtId="169" fontId="4" fillId="6" borderId="1" applyAlignment="1" pivotButton="0" quotePrefix="0" xfId="2">
      <alignment horizontal="right" vertical="center"/>
    </xf>
    <xf numFmtId="169" fontId="4" fillId="10" borderId="1" applyAlignment="1" pivotButton="0" quotePrefix="0" xfId="2">
      <alignment horizontal="right" vertical="center"/>
    </xf>
    <xf numFmtId="169" fontId="0" fillId="0" borderId="0" pivotButton="0" quotePrefix="0" xfId="2"/>
    <xf numFmtId="0" fontId="18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right" vertical="center"/>
    </xf>
    <xf numFmtId="169" fontId="4" fillId="11" borderId="1" applyAlignment="1" pivotButton="0" quotePrefix="0" xfId="2">
      <alignment horizontal="right" vertical="center"/>
    </xf>
    <xf numFmtId="0" fontId="21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3" fontId="22" fillId="8" borderId="1" applyAlignment="1" pivotButton="0" quotePrefix="0" xfId="0">
      <alignment horizontal="right" vertical="center"/>
    </xf>
    <xf numFmtId="169" fontId="22" fillId="10" borderId="1" applyAlignment="1" pivotButton="0" quotePrefix="0" xfId="2">
      <alignment horizontal="right" vertical="center"/>
    </xf>
    <xf numFmtId="169" fontId="3" fillId="6" borderId="1" applyAlignment="1" pivotButton="0" quotePrefix="0" xfId="2">
      <alignment horizontal="right" vertical="center"/>
    </xf>
    <xf numFmtId="0" fontId="23" fillId="6" borderId="1" applyAlignment="1" pivotButton="0" quotePrefix="0" xfId="0">
      <alignment horizontal="left" vertical="center" wrapText="1"/>
    </xf>
    <xf numFmtId="170" fontId="4" fillId="8" borderId="1" applyAlignment="1" pivotButton="0" quotePrefix="0" xfId="1">
      <alignment horizontal="right" vertical="center"/>
    </xf>
    <xf numFmtId="0" fontId="13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right" vertical="center"/>
    </xf>
    <xf numFmtId="0" fontId="29" fillId="4" borderId="0" applyAlignment="1" pivotButton="0" quotePrefix="0" xfId="0">
      <alignment horizontal="left" vertical="center" wrapText="1" indent="1"/>
    </xf>
    <xf numFmtId="10" fontId="0" fillId="0" borderId="0" pivotButton="0" quotePrefix="0" xfId="2"/>
    <xf numFmtId="164" fontId="4" fillId="8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169" fontId="4" fillId="11" borderId="1" applyAlignment="1" pivotButton="0" quotePrefix="0" xfId="2">
      <alignment horizontal="right" vertical="center"/>
    </xf>
    <xf numFmtId="169" fontId="0" fillId="0" borderId="0" pivotButton="0" quotePrefix="0" xfId="2"/>
    <xf numFmtId="169" fontId="4" fillId="6" borderId="1" applyAlignment="1" pivotButton="0" quotePrefix="0" xfId="2">
      <alignment horizontal="right" vertical="center"/>
    </xf>
    <xf numFmtId="169" fontId="4" fillId="10" borderId="1" applyAlignment="1" pivotButton="0" quotePrefix="0" xfId="2">
      <alignment horizontal="right" vertical="center"/>
    </xf>
    <xf numFmtId="169" fontId="22" fillId="10" borderId="1" applyAlignment="1" pivotButton="0" quotePrefix="0" xfId="2">
      <alignment horizontal="right" vertical="center"/>
    </xf>
    <xf numFmtId="169" fontId="3" fillId="6" borderId="1" applyAlignment="1" pivotButton="0" quotePrefix="0" xfId="2">
      <alignment horizontal="right" vertical="center"/>
    </xf>
    <xf numFmtId="170" fontId="4" fillId="8" borderId="1" applyAlignment="1" pivotButton="0" quotePrefix="0" xfId="1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168" fontId="3" fillId="6" borderId="1" applyAlignment="1" pivotButton="0" quotePrefix="0" xfId="0">
      <alignment horizontal="right" vertical="center"/>
    </xf>
  </cellXfs>
  <cellStyles count="3">
    <cellStyle name="常规" xfId="0" builtinId="0"/>
    <cellStyle name="千位分隔" xfId="1" builtinId="3"/>
    <cellStyle name="百分比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59391</colOff>
      <row>0</row>
      <rowOff>234308</rowOff>
    </from>
    <to>
      <col>16</col>
      <colOff>517978</colOff>
      <row>8</row>
      <rowOff>242761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71591" y="234308"/>
          <a:ext cx="5335387" cy="2097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33618</colOff>
      <row>12</row>
      <rowOff>115047</rowOff>
    </from>
    <to>
      <col>16</col>
      <colOff>274731</colOff>
      <row>25</row>
      <rowOff>65467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609853" y="2834341"/>
          <a:ext cx="5141819" cy="25875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27</row>
      <rowOff>0</rowOff>
    </from>
    <to>
      <col>16</col>
      <colOff>333375</colOff>
      <row>33</row>
      <rowOff>116173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556625" y="5730875"/>
          <a:ext cx="5159375" cy="16242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35</row>
      <rowOff>0</rowOff>
    </from>
    <to>
      <col>16</col>
      <colOff>407923</colOff>
      <row>43</row>
      <rowOff>34636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589818" y="7504545"/>
          <a:ext cx="5303196" cy="14200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97972</colOff>
      <row>5</row>
      <rowOff>19050</rowOff>
    </from>
    <to>
      <col>20</col>
      <colOff>254000</colOff>
      <row>15</row>
      <rowOff>166527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9472" y="1397907"/>
          <a:ext cx="8057242" cy="20615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544287</colOff>
      <row>17</row>
      <rowOff>126999</rowOff>
    </from>
    <to>
      <col>27</col>
      <colOff>437930</colOff>
      <row>47</row>
      <rowOff>35547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28001" y="3782785"/>
          <a:ext cx="12657143" cy="59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libabagroup.com/en-US/ir" TargetMode="External" Id="rId1"/><Relationship Type="http://schemas.openxmlformats.org/officeDocument/2006/relationships/hyperlink" Target="https://www1.hkexnews.hk/" TargetMode="External" Id="rId2"/><Relationship Type="http://schemas.openxmlformats.org/officeDocument/2006/relationships/hyperlink" Target="https://www.alibabagroup.com/en-US/ir" TargetMode="External" Id="rId3"/><Relationship Type="http://schemas.openxmlformats.org/officeDocument/2006/relationships/hyperlink" Target="http://www.stats.gov.cn/" TargetMode="External" Id="rId4"/><Relationship Type="http://schemas.openxmlformats.org/officeDocument/2006/relationships/hyperlink" Target="http://www.100ec.cn/" TargetMode="External" Id="rId5"/><Relationship Type="http://schemas.openxmlformats.org/officeDocument/2006/relationships/hyperlink" Target="https://www.iresearch.com.cn/" TargetMode="External" Id="rId6"/><Relationship Type="http://schemas.openxmlformats.org/officeDocument/2006/relationships/hyperlink" Target="https://www.questmobile.com.cn/" TargetMode="External" Id="rId7"/><Relationship Type="http://schemas.openxmlformats.org/officeDocument/2006/relationships/hyperlink" Target="https://investor.pddholdings.com/" TargetMode="External" Id="rId8"/><Relationship Type="http://schemas.openxmlformats.org/officeDocument/2006/relationships/hyperlink" Target="https://www.sec.gov/cgi-bin/browse-edgar" TargetMode="External" Id="rId9"/><Relationship Type="http://schemas.openxmlformats.org/officeDocument/2006/relationships/hyperlink" Target="https://ir.jd.com/" TargetMode="External" Id="rId10"/><Relationship Type="http://schemas.openxmlformats.org/officeDocument/2006/relationships/hyperlink" Target="https://www1.hkexnews.hk/" TargetMode="External" Id="rId11"/><Relationship Type="http://schemas.openxmlformats.org/officeDocument/2006/relationships/hyperlink" Target="https://xueqiu.com/" TargetMode="External" Id="rId12"/><Relationship Type="http://schemas.openxmlformats.org/officeDocument/2006/relationships/hyperlink" Target="https://www.macrotrends.net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4" workbookViewId="0">
      <selection activeCell="A1" sqref="A1:F1"/>
    </sheetView>
  </sheetViews>
  <sheetFormatPr baseColWidth="8" defaultRowHeight="14"/>
  <cols>
    <col width="22" customWidth="1" style="56" min="1" max="1"/>
    <col width="60" customWidth="1" style="56" min="2" max="2"/>
    <col width="20" customWidth="1" style="56" min="3" max="6"/>
  </cols>
  <sheetData>
    <row r="1" ht="36" customHeight="1" s="56">
      <c r="A1" s="58" t="inlineStr">
        <is>
          <t>淘天集团 FY25 BP分析过程工作簿</t>
        </is>
      </c>
    </row>
    <row r="2" ht="22" customHeight="1" s="56">
      <c r="A2" s="57" t="inlineStr">
        <is>
          <t>时间口径：阿里 FY25（2024.4–2025.3）  |  编制：王静 Jennie  |  日期：2026.05  |  v2.0</t>
        </is>
      </c>
    </row>
    <row r="4" ht="36" customHeight="1" s="56">
      <c r="A4" s="1" t="inlineStr">
        <is>
          <t>目的</t>
        </is>
      </c>
      <c r="B4" s="55" t="inlineStr">
        <is>
          <t>为同名 Word 分析报告提供所有计算明细、可追溯口径、可调参数。Word 与 Excel 数字完全一致；如有不一致以本工作簿为准。</t>
        </is>
      </c>
    </row>
    <row r="6" ht="14.5" customHeight="1" s="56">
      <c r="A6" s="1" t="inlineStr">
        <is>
          <t>颜色约定（必读）</t>
        </is>
      </c>
    </row>
    <row r="7" ht="14.5" customHeight="1" s="56">
      <c r="A7" s="2" t="inlineStr">
        <is>
          <t xml:space="preserve"> </t>
        </is>
      </c>
      <c r="B7" s="3" t="inlineStr">
        <is>
          <t>浅蓝底 = 输入/假设单元格（可修改测试敏感性）</t>
        </is>
      </c>
    </row>
    <row r="8" ht="14.5" customHeight="1" s="56">
      <c r="A8" s="4" t="inlineStr">
        <is>
          <t xml:space="preserve"> </t>
        </is>
      </c>
      <c r="B8" s="3" t="inlineStr">
        <is>
          <t>浅绿底 = 计算结果（公式自动生成）</t>
        </is>
      </c>
    </row>
    <row r="9" ht="14.5" customHeight="1" s="56">
      <c r="A9" s="5" t="inlineStr">
        <is>
          <t xml:space="preserve"> </t>
        </is>
      </c>
      <c r="B9" s="3" t="inlineStr">
        <is>
          <t>浅黄底 = 关键 BP 监控指标</t>
        </is>
      </c>
    </row>
    <row r="10" ht="14.5" customHeight="1" s="56">
      <c r="A10" s="6" t="inlineStr">
        <is>
          <t>🔴</t>
        </is>
      </c>
      <c r="B10" s="3" t="inlineStr">
        <is>
          <t>红字 = 警示性数据 / 口径备注</t>
        </is>
      </c>
    </row>
    <row r="12" ht="14.5" customHeight="1" s="56">
      <c r="A12" s="1" t="inlineStr">
        <is>
          <t>数据可信度图例</t>
        </is>
      </c>
    </row>
    <row r="13" ht="14.5" customHeight="1" s="56">
      <c r="A13" s="7" t="inlineStr">
        <is>
          <t>●</t>
        </is>
      </c>
      <c r="B13" s="3" t="inlineStr">
        <is>
          <t>官方披露口径（来自年报/季报/SEC文件）</t>
        </is>
      </c>
    </row>
    <row r="14" ht="14.5" customHeight="1" s="56">
      <c r="A14" s="8" t="inlineStr">
        <is>
          <t>⚠</t>
        </is>
      </c>
      <c r="B14" s="3" t="inlineStr">
        <is>
          <t>估算（带敏感性区间，详见 8_口径与假设）</t>
        </is>
      </c>
    </row>
    <row r="16" ht="14.5" customHeight="1" s="56">
      <c r="A16" s="1" t="inlineStr">
        <is>
          <t>工作表清单（按 BP 分析流程编排）</t>
        </is>
      </c>
    </row>
    <row r="17" ht="14.5" customHeight="1" s="56">
      <c r="A17" s="9" t="inlineStr">
        <is>
          <t>1_市场份额测算</t>
        </is>
      </c>
      <c r="B17" s="3" t="inlineStr">
        <is>
          <t>对应 Word 第 1 章 — 行业大盘与三家份额</t>
        </is>
      </c>
    </row>
    <row r="18" ht="14.5" customHeight="1" s="56">
      <c r="A18" s="9" t="inlineStr">
        <is>
          <t>2_收入结构拆解</t>
        </is>
      </c>
      <c r="B18" s="3" t="inlineStr">
        <is>
          <t>对应 Word 第 2 章 — 淘天 FY23-25 收入与利润结构</t>
        </is>
      </c>
    </row>
    <row r="19" ht="14.5" customHeight="1" s="56">
      <c r="A19" s="9" t="inlineStr">
        <is>
          <t>3_PL_Bridge</t>
        </is>
      </c>
      <c r="B19" s="3" t="inlineStr">
        <is>
          <t>对应 Word 第 3 章 — FY25 CMR +75 亿归因（5 维度）</t>
        </is>
      </c>
    </row>
    <row r="20" ht="14.5" customHeight="1" s="56">
      <c r="A20" s="9" t="inlineStr">
        <is>
          <t>4_UE单位经济模型</t>
        </is>
      </c>
      <c r="B20" s="3" t="inlineStr">
        <is>
          <t>对应 Word 第 4 章 — 三视角 UE</t>
        </is>
      </c>
    </row>
    <row r="21" ht="14.5" customHeight="1" s="56">
      <c r="A21" s="9" t="inlineStr">
        <is>
          <t>5_驱动因子树</t>
        </is>
      </c>
      <c r="B21" s="3" t="inlineStr">
        <is>
          <t>对应 Word 第 5 章 — Driver Tree 三层穿透</t>
        </is>
      </c>
    </row>
    <row r="22" ht="14.5" customHeight="1" s="56">
      <c r="A22" s="9" t="inlineStr">
        <is>
          <t>6_同业对标</t>
        </is>
      </c>
      <c r="B22" s="3" t="inlineStr">
        <is>
          <t>对应 Word 第 6 章 — 三家可比口径 + 战略象限</t>
        </is>
      </c>
    </row>
    <row r="23" ht="14.5" customHeight="1" s="56">
      <c r="A23" s="9" t="inlineStr">
        <is>
          <t>7_敏感性与情景</t>
        </is>
      </c>
      <c r="B23" s="3" t="inlineStr">
        <is>
          <t>对应 Word 第 7 章 — FY26 五情景 + 弹性矩阵</t>
        </is>
      </c>
    </row>
    <row r="24" ht="14.5" customHeight="1" s="56">
      <c r="A24" s="9" t="inlineStr">
        <is>
          <t>8_问题诊断与建议</t>
        </is>
      </c>
      <c r="B24" s="3" t="inlineStr">
        <is>
          <t>对应 Word 第 8、9 章 — 5 大问题 + 12 KPI</t>
        </is>
      </c>
    </row>
    <row r="25" ht="14.5" customHeight="1" s="56">
      <c r="A25" s="9" t="inlineStr">
        <is>
          <t>9_口径与假设</t>
        </is>
      </c>
      <c r="B25" s="3" t="inlineStr">
        <is>
          <t>附录 A — 所有口径声明</t>
        </is>
      </c>
    </row>
    <row r="26" ht="14.5" customHeight="1" s="56">
      <c r="A26" s="9" t="inlineStr">
        <is>
          <t>10_数据源链接</t>
        </is>
      </c>
      <c r="B26" s="3" t="inlineStr">
        <is>
          <t>附录 B — 每项数据的官方/研报来源</t>
        </is>
      </c>
    </row>
  </sheetData>
  <mergeCells count="3">
    <mergeCell ref="B4:F4"/>
    <mergeCell ref="A2:F2"/>
    <mergeCell ref="A1:F1"/>
  </mergeCells>
  <hyperlinks>
    <hyperlink ref="A17" location="'1_市场份额测算'!A1" display="1_市场份额测算"/>
    <hyperlink ref="A18" location="'2_收入结构拆解'!A1" display="2_收入结构拆解"/>
    <hyperlink ref="A19" location="'3_PL_Bridge'!A1" display="3_PL_Bridge"/>
    <hyperlink ref="A20" location="'4_UE单位经济模型'!A1" display="4_UE单位经济模型"/>
    <hyperlink ref="A21" location="'5_驱动因子树'!A1" display="5_驱动因子树"/>
    <hyperlink ref="A22" location="'6_同业对标'!A1" display="6_同业对标"/>
    <hyperlink ref="A23" location="'7_敏感性与情景'!A1" display="7_敏感性与情景"/>
    <hyperlink ref="A24" location="'8_问题诊断与建议'!A1" display="8_问题诊断与建议"/>
    <hyperlink ref="A25" location="'9_口径与假设'!A1" display="9_口径与假设"/>
    <hyperlink ref="A26" location="'10_数据源链接'!A1" display="10_数据源链接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pane ySplit="3" topLeftCell="A4" activePane="bottomLeft" state="frozen"/>
      <selection pane="bottomLeft" activeCell="I20" sqref="I20"/>
    </sheetView>
  </sheetViews>
  <sheetFormatPr baseColWidth="8" defaultRowHeight="14"/>
  <cols>
    <col width="26" customWidth="1" style="56" min="1" max="1"/>
    <col width="12" customWidth="1" style="56" min="2" max="5"/>
    <col width="38" customWidth="1" style="56" min="6" max="6"/>
  </cols>
  <sheetData>
    <row r="1" ht="36" customHeight="1" s="56">
      <c r="A1" s="58" t="inlineStr">
        <is>
          <t>中国电商市场总览与三家份额</t>
        </is>
      </c>
    </row>
    <row r="2" ht="22" customHeight="1" s="56">
      <c r="A2" s="57" t="inlineStr">
        <is>
          <t>口径：实物商品网络零售额（国家统计局）+ 服务类按行业研报估算  |  时间：日历年 2022–2024</t>
        </is>
      </c>
    </row>
    <row r="4" ht="14.5" customHeight="1" s="56">
      <c r="A4" s="10" t="inlineStr">
        <is>
          <t>指标</t>
        </is>
      </c>
      <c r="B4" s="10" t="inlineStr">
        <is>
          <t>2022</t>
        </is>
      </c>
      <c r="C4" s="10" t="inlineStr">
        <is>
          <t>2023</t>
        </is>
      </c>
      <c r="D4" s="10" t="inlineStr">
        <is>
          <t>2024</t>
        </is>
      </c>
      <c r="E4" s="10" t="inlineStr">
        <is>
          <t>YoY 2024</t>
        </is>
      </c>
      <c r="F4" s="10" t="inlineStr">
        <is>
          <t>数据来源 / 备注</t>
        </is>
      </c>
    </row>
    <row r="5" ht="22" customHeight="1" s="56">
      <c r="A5" s="59" t="inlineStr">
        <is>
          <t>【行业大盘】</t>
        </is>
      </c>
    </row>
    <row r="6">
      <c r="A6" s="61" t="inlineStr">
        <is>
          <t>全国实物网零额（万亿）</t>
        </is>
      </c>
      <c r="B6" s="12" t="n">
        <v>11.96</v>
      </c>
      <c r="C6" s="12" t="n">
        <v>13.02</v>
      </c>
      <c r="D6" s="12" t="n">
        <v>13.79</v>
      </c>
      <c r="E6" s="61" t="inlineStr">
        <is>
          <t>+5.9%</t>
        </is>
      </c>
      <c r="F6" s="61" t="inlineStr">
        <is>
          <t>● 国家统计局 2024.12</t>
        </is>
      </c>
    </row>
    <row r="7">
      <c r="A7" s="61" t="inlineStr">
        <is>
          <t>全国社零总额（万亿）</t>
        </is>
      </c>
      <c r="B7" s="12" t="n">
        <v>43.97</v>
      </c>
      <c r="C7" s="12" t="n">
        <v>47.15</v>
      </c>
      <c r="D7" s="12" t="n">
        <v>48.79</v>
      </c>
      <c r="E7" s="61" t="inlineStr">
        <is>
          <t>+3.5%</t>
        </is>
      </c>
      <c r="F7" s="61" t="inlineStr">
        <is>
          <t>● 国家统计局</t>
        </is>
      </c>
    </row>
    <row r="8">
      <c r="A8" s="61" t="inlineStr">
        <is>
          <t>网零渗透率%</t>
        </is>
      </c>
      <c r="B8" s="12" t="n">
        <v>27.2</v>
      </c>
      <c r="C8" s="12" t="n">
        <v>27.6</v>
      </c>
      <c r="D8" s="12" t="n">
        <v>28.3</v>
      </c>
      <c r="E8" s="61" t="inlineStr">
        <is>
          <t>+0.7pct</t>
        </is>
      </c>
      <c r="F8" s="61" t="inlineStr">
        <is>
          <t>● 网零/社零，电商成熟度</t>
        </is>
      </c>
    </row>
    <row r="9">
      <c r="A9" s="61" t="inlineStr">
        <is>
          <t>含服务广义电商（万亿）</t>
        </is>
      </c>
      <c r="B9" s="12" t="n">
        <v>14.5</v>
      </c>
      <c r="C9" s="12" t="n">
        <v>15.8</v>
      </c>
      <c r="D9" s="12" t="n">
        <v>16.8</v>
      </c>
      <c r="E9" s="61" t="inlineStr">
        <is>
          <t>+6.3%</t>
        </is>
      </c>
      <c r="F9" s="61" t="inlineStr">
        <is>
          <t>⚠ 加 O2O+本地生活</t>
        </is>
      </c>
    </row>
    <row r="10" ht="22" customHeight="1" s="56">
      <c r="A10" s="59" t="inlineStr">
        <is>
          <t>【三家 GMV 与市占率】</t>
        </is>
      </c>
    </row>
    <row r="11">
      <c r="A11" s="61" t="inlineStr">
        <is>
          <t>淘天 GMV（万亿）</t>
        </is>
      </c>
      <c r="B11" s="88" t="n">
        <v>8</v>
      </c>
      <c r="C11" s="88" t="n">
        <v>7.8</v>
      </c>
      <c r="D11" s="88" t="n">
        <v>7.6</v>
      </c>
      <c r="E11" s="61" t="inlineStr">
        <is>
          <t>-2.6%</t>
        </is>
      </c>
      <c r="F11" s="61" t="inlineStr">
        <is>
          <t>● FY23/24/25 ≈ CY22/23/24</t>
        </is>
      </c>
      <c r="G11" t="inlineStr">
        <is>
          <t>券商机构主流测算</t>
        </is>
      </c>
    </row>
    <row r="12">
      <c r="A12" s="14" t="inlineStr">
        <is>
          <t>淘天市占率%</t>
        </is>
      </c>
      <c r="B12" s="89" t="n">
        <v>55.2</v>
      </c>
      <c r="C12" s="89" t="n">
        <v>49.4</v>
      </c>
      <c r="D12" s="89" t="n">
        <v>45.2</v>
      </c>
      <c r="E12" s="14" t="inlineStr">
        <is>
          <t>-4.2pct</t>
        </is>
      </c>
      <c r="F12" s="14" t="inlineStr">
        <is>
          <t>⚠ 淘天 GMV / 广义电商</t>
        </is>
      </c>
    </row>
    <row r="13">
      <c r="A13" s="61" t="inlineStr">
        <is>
          <t>PDD 主站 GMV（万亿）</t>
        </is>
      </c>
      <c r="B13" s="88" t="n">
        <v>2.8</v>
      </c>
      <c r="C13" s="88" t="n">
        <v>4.1</v>
      </c>
      <c r="D13" s="88" t="n">
        <v>5.3</v>
      </c>
      <c r="E13" s="61" t="inlineStr">
        <is>
          <t>+29%</t>
        </is>
      </c>
      <c r="F13" s="61" t="inlineStr">
        <is>
          <t>⚠ 区间 5.0–5.6（中位 5.3）</t>
        </is>
      </c>
    </row>
    <row r="14">
      <c r="A14" s="14" t="inlineStr">
        <is>
          <t>PDD 市占率%</t>
        </is>
      </c>
      <c r="B14" s="89" t="n">
        <v>19.3</v>
      </c>
      <c r="C14" s="89" t="n">
        <v>25.9</v>
      </c>
      <c r="D14" s="89" t="n">
        <v>31.5</v>
      </c>
      <c r="E14" s="14" t="inlineStr">
        <is>
          <t>+5.6pct</t>
        </is>
      </c>
      <c r="F14" s="14" t="inlineStr">
        <is>
          <t>⚠ 增速最快</t>
        </is>
      </c>
    </row>
    <row r="15">
      <c r="A15" s="61" t="inlineStr">
        <is>
          <t>JD 零售 GMV（万亿）</t>
        </is>
      </c>
      <c r="B15" s="88" t="n">
        <v>2.85</v>
      </c>
      <c r="C15" s="88" t="n">
        <v>2.9</v>
      </c>
      <c r="D15" s="88" t="n">
        <v>3.05</v>
      </c>
      <c r="E15" s="61" t="inlineStr">
        <is>
          <t>+5.2%</t>
        </is>
      </c>
      <c r="F15" s="61" t="inlineStr">
        <is>
          <t>⚠ JD 不再披露 GMV</t>
        </is>
      </c>
    </row>
    <row r="16">
      <c r="A16" s="14" t="inlineStr">
        <is>
          <t>JD 市占率%</t>
        </is>
      </c>
      <c r="B16" s="89" t="n">
        <v>19.7</v>
      </c>
      <c r="C16" s="89" t="n">
        <v>18.4</v>
      </c>
      <c r="D16" s="89" t="n">
        <v>18.2</v>
      </c>
      <c r="E16" s="14" t="inlineStr">
        <is>
          <t>-0.2pct</t>
        </is>
      </c>
      <c r="F16" s="14" t="inlineStr">
        <is>
          <t>⚠ 基本盘稳定</t>
        </is>
      </c>
    </row>
    <row r="17">
      <c r="A17" s="61" t="inlineStr">
        <is>
          <t>抖音电商 GMV（万亿）</t>
        </is>
      </c>
      <c r="B17" s="88" t="n">
        <v>1.4</v>
      </c>
      <c r="C17" s="88" t="n">
        <v>2.2</v>
      </c>
      <c r="D17" s="88" t="n">
        <v>3.5</v>
      </c>
      <c r="E17" s="61" t="inlineStr">
        <is>
          <t>+59%</t>
        </is>
      </c>
      <c r="F17" s="61" t="inlineStr">
        <is>
          <t>⚠ 区间 3.0–3.7</t>
        </is>
      </c>
    </row>
    <row r="18">
      <c r="A18" s="14" t="inlineStr">
        <is>
          <t>抖音市占率%</t>
        </is>
      </c>
      <c r="B18" s="89" t="n">
        <v>9.699999999999999</v>
      </c>
      <c r="C18" s="89" t="n">
        <v>13.9</v>
      </c>
      <c r="D18" s="89" t="n">
        <v>20.8</v>
      </c>
      <c r="E18" s="14" t="inlineStr">
        <is>
          <t>+6.9pct</t>
        </is>
      </c>
      <c r="F18" s="14" t="inlineStr">
        <is>
          <t>⚠ 最大新进入者</t>
        </is>
      </c>
    </row>
    <row r="19" ht="22" customHeight="1" s="56">
      <c r="A19" s="59" t="inlineStr">
        <is>
          <t>【份额合计校验】</t>
        </is>
      </c>
    </row>
    <row r="20" ht="26" customHeight="1" s="56">
      <c r="A20" s="61" t="inlineStr">
        <is>
          <t>CR4 合计%</t>
        </is>
      </c>
      <c r="B20" s="90" t="n">
        <v>103.9</v>
      </c>
      <c r="C20" s="90" t="n">
        <v>107.6</v>
      </c>
      <c r="D20" s="90" t="n">
        <v>115.7</v>
      </c>
      <c r="E20" s="61" t="inlineStr">
        <is>
          <t>—</t>
        </is>
      </c>
      <c r="F20" s="17" t="inlineStr">
        <is>
          <t>&gt;100% 因部分 GMV 重复计入（品牌商多渠道）</t>
        </is>
      </c>
    </row>
    <row r="22" ht="50" customHeight="1" s="56">
      <c r="A22" s="60" t="inlineStr">
        <is>
          <t>💡 BP 行业判断：电商"双寡头时代"已结束，进入"四足鼎立 + 长尾"。淘天份额从 2022 年 55% 降至 2024 年 45%，三年损失 10pct。BP 真问题不是"淘天会不会输"，而是"能否守住 40% 份额底线 + 47% 利润率底线"。</t>
        </is>
      </c>
    </row>
  </sheetData>
  <mergeCells count="6">
    <mergeCell ref="A2:F2"/>
    <mergeCell ref="A10:F10"/>
    <mergeCell ref="A19:F19"/>
    <mergeCell ref="A1:F1"/>
    <mergeCell ref="A5:F5"/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Normal="100" workbookViewId="0">
      <pane ySplit="3" topLeftCell="A15" activePane="bottomLeft" state="frozen"/>
      <selection pane="bottomLeft" activeCell="D9" sqref="D9"/>
    </sheetView>
  </sheetViews>
  <sheetFormatPr baseColWidth="8" defaultRowHeight="14"/>
  <cols>
    <col width="30" customWidth="1" style="56" min="1" max="1"/>
    <col width="12" customWidth="1" style="56" min="2" max="4"/>
    <col width="11" customWidth="1" style="56" min="5" max="6"/>
    <col width="28" customWidth="1" style="56" min="7" max="7"/>
    <col width="9.26953125" bestFit="1" customWidth="1" style="56" min="8" max="8"/>
  </cols>
  <sheetData>
    <row r="1" ht="36" customHeight="1" s="56">
      <c r="A1" s="58" t="inlineStr">
        <is>
          <t>淘天集团收入结构（FY23–FY25）</t>
        </is>
      </c>
    </row>
    <row r="2" ht="22" customHeight="1" s="56">
      <c r="A2" s="57" t="inlineStr">
        <is>
          <t>口径：阿里财年 FY23/24/25 = 2022.4–2025.3  |  单位：亿元</t>
        </is>
      </c>
    </row>
    <row r="4" ht="14.5" customHeight="1" s="56">
      <c r="A4" s="10" t="inlineStr">
        <is>
          <t>科目</t>
        </is>
      </c>
      <c r="B4" s="10" t="inlineStr">
        <is>
          <t>FY23</t>
        </is>
      </c>
      <c r="C4" s="10" t="inlineStr">
        <is>
          <t>FY24</t>
        </is>
      </c>
      <c r="D4" s="10" t="inlineStr">
        <is>
          <t>FY25</t>
        </is>
      </c>
      <c r="E4" s="65" t="inlineStr">
        <is>
          <t>CAGR</t>
        </is>
      </c>
      <c r="F4" s="10" t="inlineStr">
        <is>
          <t>YoY 25</t>
        </is>
      </c>
      <c r="G4" s="10" t="inlineStr">
        <is>
          <t>BP 视角</t>
        </is>
      </c>
    </row>
    <row r="5" ht="22" customHeight="1" s="56">
      <c r="A5" s="59" t="inlineStr">
        <is>
          <t>【收入科目（亿元）】</t>
        </is>
      </c>
    </row>
    <row r="6">
      <c r="A6" s="71" t="inlineStr">
        <is>
          <t>中国零售商业</t>
        </is>
      </c>
      <c r="B6" s="72">
        <f>B7+B10</f>
        <v/>
      </c>
      <c r="C6" s="72">
        <f>C7+C10</f>
        <v/>
      </c>
      <c r="D6" s="72">
        <f>D7+D10</f>
        <v/>
      </c>
      <c r="E6" s="91">
        <f>(D6/B6)^(1/2)-1</f>
        <v/>
      </c>
      <c r="F6" s="91">
        <f>(D6-C6)/C6</f>
        <v/>
      </c>
      <c r="G6" s="71" t="n"/>
      <c r="H6" s="92" t="n"/>
    </row>
    <row r="7" ht="16" customHeight="1" s="56">
      <c r="A7" s="69" t="inlineStr">
        <is>
          <t xml:space="preserve">    客户管理收入 CMR ●</t>
        </is>
      </c>
      <c r="B7" s="18" t="n">
        <v>2915</v>
      </c>
      <c r="C7" s="18" t="n">
        <v>3040</v>
      </c>
      <c r="D7" s="18" t="n">
        <v>3223</v>
      </c>
      <c r="E7" s="93">
        <f>(D7/B7)^(1/2)-1</f>
        <v/>
      </c>
      <c r="F7" s="93">
        <f>(D7-C7)/C7</f>
        <v/>
      </c>
      <c r="G7" s="14" t="inlineStr">
        <is>
          <t>广告+佣金，最重要科目</t>
        </is>
      </c>
      <c r="H7" s="92" t="n"/>
    </row>
    <row r="8" ht="26" customHeight="1" s="56">
      <c r="A8" s="70" t="inlineStr">
        <is>
          <t xml:space="preserve">　  广告收入（72、68、64%估）⚠</t>
        </is>
      </c>
      <c r="B8" s="19">
        <f>B7*0.72</f>
        <v/>
      </c>
      <c r="C8" s="19">
        <f>C7*0.68</f>
        <v/>
      </c>
      <c r="D8" s="19">
        <f>D7*0.64</f>
        <v/>
      </c>
      <c r="E8" s="94">
        <f>(D8/B8)^(1/2)-1</f>
        <v/>
      </c>
      <c r="F8" s="94">
        <f>(D8-C8)/C8</f>
        <v/>
      </c>
      <c r="G8" s="83" t="inlineStr">
        <is>
          <t>三年比例逐年下降，数据来源：豆包</t>
        </is>
      </c>
    </row>
    <row r="9" ht="43.5" customHeight="1" s="56">
      <c r="A9" s="70" t="inlineStr">
        <is>
          <t xml:space="preserve">　  佣金收入（28、32、36%估）⚠</t>
        </is>
      </c>
      <c r="B9" s="19">
        <f>B7-B8</f>
        <v/>
      </c>
      <c r="C9" s="19">
        <f>C7-C8</f>
        <v/>
      </c>
      <c r="D9" s="19">
        <f>D7-D8</f>
        <v/>
      </c>
      <c r="E9" s="94">
        <f>(D9/B9)^(1/2)-1</f>
        <v/>
      </c>
      <c r="F9" s="94">
        <f>(D9-C9)/C9</f>
        <v/>
      </c>
      <c r="G9" s="82" t="inlineStr">
        <is>
          <t>平台新增订单服务费、天猫部分类目佣金上调、全站推广小幅分流广告结构。</t>
        </is>
      </c>
    </row>
    <row r="10" ht="16" customHeight="1" s="56">
      <c r="A10" s="70" t="inlineStr">
        <is>
          <t xml:space="preserve">    直营业务收入 ●</t>
        </is>
      </c>
      <c r="B10" s="19" t="n">
        <v>1038</v>
      </c>
      <c r="C10" s="19" t="n">
        <v>1104</v>
      </c>
      <c r="D10" s="19" t="n">
        <v>1032</v>
      </c>
      <c r="E10" s="94">
        <f>(D10/B10)^(1/2)-1</f>
        <v/>
      </c>
      <c r="F10" s="94">
        <f>(D10-C10)/C10</f>
        <v/>
      </c>
      <c r="G10" s="61" t="inlineStr">
        <is>
          <t>FY25 主动收缩</t>
        </is>
      </c>
      <c r="H10" s="87" t="n"/>
    </row>
    <row r="11">
      <c r="A11" s="71" t="inlineStr">
        <is>
          <t>中国批发商业</t>
        </is>
      </c>
      <c r="B11" s="72" t="n">
        <v>178</v>
      </c>
      <c r="C11" s="72" t="n">
        <v>205</v>
      </c>
      <c r="D11" s="72" t="n">
        <v>243</v>
      </c>
      <c r="E11" s="91">
        <f>(D11/B11)^(1/2)-1</f>
        <v/>
      </c>
      <c r="F11" s="91">
        <f>(D11-C11)/C11</f>
        <v/>
      </c>
      <c r="G11" s="71" t="n"/>
      <c r="H11" s="87" t="n"/>
    </row>
    <row r="12">
      <c r="A12" s="74" t="n"/>
      <c r="B12" s="19" t="n"/>
      <c r="C12" s="19" t="n"/>
      <c r="D12" s="19" t="n"/>
      <c r="E12" s="94" t="n"/>
      <c r="F12" s="94" t="n"/>
      <c r="G12" s="61" t="n"/>
    </row>
    <row r="13" ht="14.5" customHeight="1" s="56">
      <c r="A13" s="75" t="inlineStr">
        <is>
          <t>分部收入合计 ●</t>
        </is>
      </c>
      <c r="B13" s="76">
        <f>B6+B11</f>
        <v/>
      </c>
      <c r="C13" s="76">
        <f>C6+C11</f>
        <v/>
      </c>
      <c r="D13" s="76">
        <f>D6+D11</f>
        <v/>
      </c>
      <c r="E13" s="95">
        <f>(D13/B13)^(1/2)-1</f>
        <v/>
      </c>
      <c r="F13" s="95">
        <f>(D13-C13)/C13</f>
        <v/>
      </c>
      <c r="G13" s="70" t="inlineStr">
        <is>
          <t>增长放缓</t>
        </is>
      </c>
    </row>
    <row r="14">
      <c r="A14" s="61" t="inlineStr">
        <is>
          <t>同期 GMV（亿元）●</t>
        </is>
      </c>
      <c r="B14" s="19">
        <f>'1_市场份额测算'!B11*10000</f>
        <v/>
      </c>
      <c r="C14" s="19">
        <f>'1_市场份额测算'!C11*10000</f>
        <v/>
      </c>
      <c r="D14" s="19">
        <f>'1_市场份额测算'!D11*10000</f>
        <v/>
      </c>
      <c r="E14" s="94">
        <f>(D14/B14)^(1/2)-1</f>
        <v/>
      </c>
      <c r="F14" s="94">
        <f>(D14-C14)/C14</f>
        <v/>
      </c>
      <c r="G14" s="61" t="inlineStr">
        <is>
          <t>连续下滑两年</t>
        </is>
      </c>
    </row>
    <row r="15" ht="22" customHeight="1" s="56">
      <c r="A15" s="59" t="inlineStr">
        <is>
          <t>【变现率（计算列：浅绿底）】</t>
        </is>
      </c>
    </row>
    <row r="16">
      <c r="A16" s="61" t="inlineStr">
        <is>
          <t>综合 Take Rate%（=收入/GMV）</t>
        </is>
      </c>
      <c r="B16" s="21">
        <f>B13/B14*100</f>
        <v/>
      </c>
      <c r="C16" s="21">
        <f>C13/C14*100</f>
        <v/>
      </c>
      <c r="D16" s="21">
        <f>D13/D14*100</f>
        <v/>
      </c>
      <c r="E16" s="94">
        <f>(D16/B16)^(1/2)-1</f>
        <v/>
      </c>
      <c r="F16" s="94">
        <f>(D16-C16)/C16</f>
        <v/>
      </c>
      <c r="G16" s="61" t="inlineStr">
        <is>
          <t>GMV 降但变现率升</t>
        </is>
      </c>
    </row>
    <row r="17" ht="14.5" customHeight="1" s="56">
      <c r="A17" s="22" t="inlineStr">
        <is>
          <t>CMR Take Rate%（=CMR/GMV）</t>
        </is>
      </c>
      <c r="B17" s="23">
        <f>B7/B14*100</f>
        <v/>
      </c>
      <c r="C17" s="23">
        <f>C7/C14*100</f>
        <v/>
      </c>
      <c r="D17" s="23">
        <f>D7/D14*100</f>
        <v/>
      </c>
      <c r="E17" s="96">
        <f>(D17/B17)^(1/2)-1</f>
        <v/>
      </c>
      <c r="F17" s="96">
        <f>(D17-C17)/C17</f>
        <v/>
      </c>
      <c r="G17" s="79" t="inlineStr">
        <is>
          <t>核心观察指标</t>
        </is>
      </c>
    </row>
    <row r="18" ht="22" customHeight="1" s="56">
      <c r="A18" s="59" t="inlineStr">
        <is>
          <t>【盈利结构】</t>
        </is>
      </c>
    </row>
    <row r="19">
      <c r="A19" s="61" t="inlineStr">
        <is>
          <t>分部经营利润 ●</t>
        </is>
      </c>
      <c r="B19" s="19" t="n">
        <v>1891</v>
      </c>
      <c r="C19" s="19" t="n">
        <v>1948</v>
      </c>
      <c r="D19" s="19" t="n">
        <v>1962</v>
      </c>
      <c r="E19" s="94">
        <f>(D19/B19)^(1/2)-1</f>
        <v/>
      </c>
      <c r="F19" s="94">
        <f>(D19-C19)/C19</f>
        <v/>
      </c>
      <c r="G19" s="61" t="inlineStr">
        <is>
          <t>—</t>
        </is>
      </c>
    </row>
    <row r="20">
      <c r="A20" s="61" t="inlineStr">
        <is>
          <t>分部经营利润率%</t>
        </is>
      </c>
      <c r="B20" s="97">
        <f>B19/B13*100</f>
        <v/>
      </c>
      <c r="C20" s="97">
        <f>C19/C13*100</f>
        <v/>
      </c>
      <c r="D20" s="97">
        <f>D19/D13*100</f>
        <v/>
      </c>
      <c r="E20" s="94">
        <f>(D20/B20)^(1/2)-1</f>
        <v/>
      </c>
      <c r="F20" s="94">
        <f>(D20-C20)/C20</f>
        <v/>
      </c>
      <c r="G20" s="81" t="inlineStr">
        <is>
          <t>持续下降</t>
        </is>
      </c>
    </row>
    <row r="21">
      <c r="A21" s="61" t="n"/>
      <c r="B21" s="19" t="n"/>
      <c r="C21" s="19" t="n"/>
      <c r="D21" s="19" t="n"/>
      <c r="E21" s="20" t="n"/>
      <c r="F21" s="20" t="n"/>
      <c r="G21" s="61" t="n"/>
    </row>
    <row r="22">
      <c r="A22" s="61" t="n"/>
      <c r="B22" s="98" t="n"/>
      <c r="C22" s="98" t="n"/>
      <c r="D22" s="98" t="n"/>
      <c r="E22" s="20" t="n"/>
      <c r="F22" s="20" t="n"/>
      <c r="G22" s="61" t="n"/>
    </row>
    <row r="23" ht="22" customHeight="1" s="56">
      <c r="A23" s="59" t="inlineStr">
        <is>
          <t>【FY25 收入变动归因（衔接 Sheet 3 P&amp;L Bridge）】</t>
        </is>
      </c>
    </row>
    <row r="24">
      <c r="A24" s="61" t="inlineStr">
        <is>
          <t>CMR 增量</t>
        </is>
      </c>
      <c r="B24" s="85" t="n">
        <v>91</v>
      </c>
      <c r="C24" s="84" t="inlineStr">
        <is>
          <t xml:space="preserve">Take Rate +0.20pct </t>
        </is>
      </c>
      <c r="D24" s="62" t="n"/>
      <c r="E24" s="62" t="n"/>
      <c r="F24" s="62" t="n"/>
      <c r="G24" s="63" t="n"/>
    </row>
    <row r="25">
      <c r="A25" s="61" t="inlineStr">
        <is>
          <t xml:space="preserve">　└ 广告增量</t>
        </is>
      </c>
      <c r="B25" s="85">
        <f>B24</f>
        <v/>
      </c>
      <c r="C25" s="61" t="inlineStr">
        <is>
          <t>Take Rate 提升驱动</t>
        </is>
      </c>
      <c r="D25" s="62" t="n"/>
      <c r="E25" s="62" t="n"/>
      <c r="F25" s="62" t="n"/>
      <c r="G25" s="63" t="n"/>
    </row>
    <row r="26">
      <c r="A26" s="61" t="inlineStr">
        <is>
          <t xml:space="preserve">　└ 佣金增量</t>
        </is>
      </c>
      <c r="B26" s="85" t="inlineStr">
        <is>
          <t>0</t>
        </is>
      </c>
      <c r="C26" s="61" t="inlineStr">
        <is>
          <t>基本持平</t>
        </is>
      </c>
      <c r="D26" s="62" t="n"/>
      <c r="E26" s="62" t="n"/>
      <c r="F26" s="62" t="n"/>
      <c r="G26" s="63" t="n"/>
    </row>
    <row r="27">
      <c r="A27" s="61" t="inlineStr">
        <is>
          <t>直营增量</t>
        </is>
      </c>
      <c r="B27" s="85" t="inlineStr">
        <is>
          <t>-81</t>
        </is>
      </c>
      <c r="C27" s="61" t="inlineStr">
        <is>
          <t>FY25 主动收缩猫超长尾</t>
        </is>
      </c>
      <c r="D27" s="62" t="n"/>
      <c r="E27" s="62" t="n"/>
      <c r="F27" s="62" t="n"/>
      <c r="G27" s="63" t="n"/>
    </row>
    <row r="28">
      <c r="A28" s="61" t="inlineStr">
        <is>
          <t>合计变动</t>
        </is>
      </c>
      <c r="B28" s="85" t="inlineStr">
        <is>
          <t>-6</t>
        </is>
      </c>
      <c r="C28" s="61" t="inlineStr">
        <is>
          <t>对应 -0.1% YoY</t>
        </is>
      </c>
      <c r="D28" s="62" t="n"/>
      <c r="E28" s="62" t="n"/>
      <c r="F28" s="62" t="n"/>
      <c r="G28" s="63" t="n"/>
    </row>
    <row r="30" ht="50" customHeight="1" s="56">
      <c r="A30" s="86" t="inlineStr">
        <is>
          <t>分析：FY25 收入增长放缓（Y to Y2025=+3.4%，CAGR=4.3%），但内部结构显著优化：CMR（高毛利）继续 +8.8%（CAGR=7.9%），直营（低毛利甚至亏损）-6.5%。这是典型的"主动收缩长尾"动作。
问题：当 GMV 已经 -2.6%，CMR 继续上还要靠 Take Rate 拉，触顶临近。</t>
        </is>
      </c>
    </row>
  </sheetData>
  <mergeCells count="12">
    <mergeCell ref="A1:G1"/>
    <mergeCell ref="A18:G18"/>
    <mergeCell ref="C24:G24"/>
    <mergeCell ref="C28:G28"/>
    <mergeCell ref="C25:G25"/>
    <mergeCell ref="C27:G27"/>
    <mergeCell ref="A30:G30"/>
    <mergeCell ref="A2:G2"/>
    <mergeCell ref="A23:G23"/>
    <mergeCell ref="A15:G15"/>
    <mergeCell ref="A5:G5"/>
    <mergeCell ref="C26:G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B7" sqref="B7"/>
    </sheetView>
  </sheetViews>
  <sheetFormatPr baseColWidth="8" defaultRowHeight="14"/>
  <cols>
    <col width="30" customWidth="1" style="56" min="1" max="1"/>
    <col width="16" customWidth="1" style="56" min="2" max="2"/>
    <col width="14" customWidth="1" style="56" min="3" max="3"/>
    <col width="38" customWidth="1" style="56" min="4" max="4"/>
    <col width="22" customWidth="1" style="56" min="5" max="5"/>
  </cols>
  <sheetData>
    <row r="1" ht="36" customHeight="1" s="56">
      <c r="A1" s="58" t="inlineStr">
        <is>
          <t>FY25 CMR 同比 +183 亿元 P&amp;L Bridge</t>
        </is>
      </c>
    </row>
    <row r="2" ht="22" customHeight="1" s="56">
      <c r="A2" s="57" t="inlineStr">
        <is>
          <t>维度：价、量、结构、会员、基数  |  目标：归因误差 ≤ 5%（±3.75 亿）</t>
        </is>
      </c>
    </row>
    <row r="4" ht="14.5" customHeight="1" s="56">
      <c r="A4" s="10" t="inlineStr">
        <is>
          <t>归因项</t>
        </is>
      </c>
      <c r="B4" s="10" t="inlineStr">
        <is>
          <t>影响（亿元）</t>
        </is>
      </c>
      <c r="C4" s="10" t="inlineStr">
        <is>
          <t>类型</t>
        </is>
      </c>
      <c r="D4" s="10" t="inlineStr">
        <is>
          <t>计算逻辑</t>
        </is>
      </c>
      <c r="E4" s="10" t="inlineStr">
        <is>
          <t>依据</t>
        </is>
      </c>
    </row>
    <row r="5">
      <c r="A5" s="26" t="inlineStr">
        <is>
          <t>FY24 CMR 起点</t>
        </is>
      </c>
      <c r="B5" s="99">
        <f>'2_收入结构拆解'!C7</f>
        <v/>
      </c>
      <c r="C5" s="28" t="inlineStr">
        <is>
          <t>锚点</t>
        </is>
      </c>
      <c r="D5" s="61" t="inlineStr">
        <is>
          <t>—</t>
        </is>
      </c>
      <c r="E5" s="29" t="inlineStr">
        <is>
          <t>FY24 实际值</t>
        </is>
      </c>
    </row>
    <row r="6" ht="24" customHeight="1" s="56">
      <c r="A6" s="61" t="inlineStr">
        <is>
          <t>价：佣金率结构提升 (1.25%→1.53%, +0.28pct)</t>
        </is>
      </c>
      <c r="B6" s="100" t="n">
        <v>213</v>
      </c>
      <c r="C6" s="28" t="inlineStr">
        <is>
          <t>+ 顺风</t>
        </is>
      </c>
      <c r="D6" s="61" t="inlineStr">
        <is>
          <t>0.28% × 76000亿 GMV</t>
        </is>
      </c>
      <c r="E6" s="29" t="inlineStr">
        <is>
          <t>佣金率结构性上行（订单服务费+类目佣金调整）</t>
        </is>
      </c>
    </row>
    <row r="7" ht="24" customHeight="1" s="56">
      <c r="A7" s="61" t="inlineStr">
        <is>
          <t>价：广告变现率微降 (2.65%→2.71%, +0.06pct)</t>
        </is>
      </c>
      <c r="B7" s="101" t="n">
        <v>-4</v>
      </c>
      <c r="C7" s="28" t="inlineStr">
        <is>
          <t>− 逆风</t>
        </is>
      </c>
      <c r="D7" s="61" t="inlineStr">
        <is>
          <t>广告收入 2067→2063亿，绝对值下降</t>
        </is>
      </c>
      <c r="E7" s="29" t="inlineStr">
        <is>
          <t>广告流量增速放缓 + 全站推产品分流</t>
        </is>
      </c>
    </row>
    <row r="8" ht="26" customHeight="1" s="56">
      <c r="A8" s="61" t="inlineStr">
        <is>
          <t>量：GMV -2.6% (7.8→7.6万亿)</t>
        </is>
      </c>
      <c r="B8" s="100" t="n">
        <v>-78</v>
      </c>
      <c r="C8" s="28" t="inlineStr">
        <is>
          <t>− 逆风</t>
        </is>
      </c>
      <c r="D8" s="61" t="inlineStr">
        <is>
          <t>(7.6-7.8)万亿 × FY24 Take Rate 3.90%</t>
        </is>
      </c>
      <c r="E8" s="29" t="inlineStr">
        <is>
          <t>用户基本盘 + 客单价双重承压</t>
        </is>
      </c>
    </row>
    <row r="9" ht="26" customHeight="1" s="56">
      <c r="A9" s="61" t="inlineStr">
        <is>
          <t>结构 + 会员：高客单类目 + 88VIP 增量</t>
        </is>
      </c>
      <c r="B9" s="100" t="n">
        <v>69</v>
      </c>
      <c r="C9" s="28" t="inlineStr">
        <is>
          <t>+ 顺风</t>
        </is>
      </c>
      <c r="D9" s="61" t="inlineStr">
        <is>
          <t>类目溢价 +24 / 88VIP +45</t>
        </is>
      </c>
      <c r="E9" s="29" t="inlineStr">
        <is>
          <t>88VIP +1500万 × 频次效应</t>
        </is>
      </c>
    </row>
    <row r="10" ht="24" customHeight="1" s="56">
      <c r="A10" s="61" t="inlineStr">
        <is>
          <t>基数：FY24 直播一次性高基不复现</t>
        </is>
      </c>
      <c r="B10" s="101" t="n">
        <v>-17</v>
      </c>
      <c r="C10" s="28" t="inlineStr">
        <is>
          <t>− 逆风</t>
        </is>
      </c>
      <c r="D10" s="61" t="inlineStr">
        <is>
          <t>FY24 双 11 直播单场亿级 FY25 未复现</t>
        </is>
      </c>
      <c r="E10" s="29" t="inlineStr">
        <is>
          <t>公开市场跟踪</t>
        </is>
      </c>
    </row>
    <row r="11">
      <c r="A11" s="26" t="inlineStr">
        <is>
          <t>FY25 CMR 实际</t>
        </is>
      </c>
      <c r="B11" s="99" t="n">
        <v>3223</v>
      </c>
      <c r="C11" s="28" t="inlineStr">
        <is>
          <t>锚点</t>
        </is>
      </c>
      <c r="D11" s="61" t="inlineStr">
        <is>
          <t>—</t>
        </is>
      </c>
      <c r="E11" s="29" t="inlineStr">
        <is>
          <t>FY25 实际值</t>
        </is>
      </c>
    </row>
    <row r="13" ht="22" customHeight="1" s="56">
      <c r="A13" s="59" t="inlineStr">
        <is>
          <t>【归因校验】</t>
        </is>
      </c>
    </row>
    <row r="14">
      <c r="A14" s="61" t="inlineStr">
        <is>
          <t>归因合计</t>
        </is>
      </c>
      <c r="B14" s="100">
        <f>SUM(B6:B10)</f>
        <v/>
      </c>
      <c r="C14" s="61">
        <f>合计</f>
        <v/>
      </c>
      <c r="D14" s="61" t="inlineStr">
        <is>
          <t>5 个归因项加总</t>
        </is>
      </c>
      <c r="E14" s="61" t="inlineStr">
        <is>
          <t>应等于实际变动</t>
        </is>
      </c>
    </row>
    <row r="15">
      <c r="A15" s="61" t="inlineStr">
        <is>
          <t>实际变动</t>
        </is>
      </c>
      <c r="B15" s="100">
        <f>B11-B5</f>
        <v/>
      </c>
      <c r="C15" s="61">
        <f>FY25 - FY24</f>
        <v/>
      </c>
      <c r="D15" s="61" t="inlineStr">
        <is>
          <t>3,132 - 3,057</t>
        </is>
      </c>
      <c r="E15" s="61" t="inlineStr">
        <is>
          <t>3,223 - 3,040</t>
        </is>
      </c>
    </row>
    <row r="16">
      <c r="A16" s="26" t="inlineStr">
        <is>
          <t>归因误差</t>
        </is>
      </c>
      <c r="B16" s="32">
        <f>ABS(B14-B15)/B15</f>
        <v/>
      </c>
      <c r="C16" s="26" t="inlineStr">
        <is>
          <t>误差%</t>
        </is>
      </c>
      <c r="D16" s="26" t="inlineStr">
        <is>
          <t>目标 ≤ 5%</t>
        </is>
      </c>
      <c r="E16" s="33" t="inlineStr">
        <is>
          <t>0% 完美归因 ✓</t>
        </is>
      </c>
    </row>
    <row r="18" ht="50" customHeight="1" s="56">
      <c r="A18" s="64" t="inlineStr">
        <is>
          <t>💡 BP 解读：FY25 CMR +183 亿的核心驱动是"佣金率结构性提升" (+213亿) ——新增订单服务费、天猫类目佣金调整带动佣金占比从 28% 升至 36%。这是阿里变现模式的结构性切换：从"广告主导"向"佣金+广告"双轮转。但代价是分部经营利润率从 45.8% 降至 43.6%（下降 2.2pct）—— 佣金虽收入贡献大，但毛利率低于广告，结构变化压制了利润率。</t>
        </is>
      </c>
    </row>
  </sheetData>
  <mergeCells count="4">
    <mergeCell ref="A2:E2"/>
    <mergeCell ref="A1:E1"/>
    <mergeCell ref="A18:E18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85" zoomScaleNormal="85" workbookViewId="0">
      <pane ySplit="3" topLeftCell="A23" activePane="bottomLeft" state="frozen"/>
      <selection pane="bottomLeft" activeCell="F21" sqref="F21"/>
    </sheetView>
  </sheetViews>
  <sheetFormatPr baseColWidth="8" defaultRowHeight="14"/>
  <cols>
    <col width="26" customWidth="1" style="56" min="1" max="1"/>
    <col width="12" customWidth="1" style="56" min="2" max="4"/>
    <col width="38" customWidth="1" style="56" min="5" max="5"/>
  </cols>
  <sheetData>
    <row r="1" ht="36" customHeight="1" s="56">
      <c r="A1" s="58" t="inlineStr">
        <is>
          <t>淘天 UE 单位经济模型</t>
        </is>
      </c>
    </row>
    <row r="2" ht="22" customHeight="1" s="56">
      <c r="A2" s="57" t="inlineStr">
        <is>
          <t>三视角：每位活跃买家 / 每元 CMR / 每笔订单  |  口径：FY23-FY25</t>
        </is>
      </c>
    </row>
    <row r="4" ht="14.5" customHeight="1" s="56">
      <c r="A4" s="10" t="inlineStr">
        <is>
          <t>指标</t>
        </is>
      </c>
      <c r="B4" s="10" t="inlineStr">
        <is>
          <t>FY23</t>
        </is>
      </c>
      <c r="C4" s="10" t="inlineStr">
        <is>
          <t>FY24</t>
        </is>
      </c>
      <c r="D4" s="10" t="inlineStr">
        <is>
          <t>FY25</t>
        </is>
      </c>
      <c r="E4" s="10" t="inlineStr">
        <is>
          <t>解读</t>
        </is>
      </c>
    </row>
    <row r="5" ht="22" customHeight="1" s="56">
      <c r="A5" s="59" t="inlineStr">
        <is>
          <t>【视角 A：每位活跃买家（人均经济）】</t>
        </is>
      </c>
      <c r="H5" t="inlineStr">
        <is>
          <t>AAC的数据来源</t>
        </is>
      </c>
    </row>
    <row r="6">
      <c r="A6" s="61" t="inlineStr">
        <is>
          <t>年活跃买家 AAC（亿）⚠</t>
        </is>
      </c>
      <c r="B6" s="98" t="n">
        <v>10.3</v>
      </c>
      <c r="C6" s="98" t="n">
        <v>10</v>
      </c>
      <c r="D6" s="98" t="n">
        <v>9.5</v>
      </c>
      <c r="E6" s="61" t="inlineStr">
        <is>
          <t>三年 -0.8 亿，估算口径</t>
        </is>
      </c>
    </row>
    <row r="7">
      <c r="A7" s="61" t="inlineStr">
        <is>
          <t>每买家年 GMV（元）</t>
        </is>
      </c>
      <c r="B7" s="19">
        <f>'2_收入结构拆解'!B14/'4_UE单位经济模型'!B6</f>
        <v/>
      </c>
      <c r="C7" s="19">
        <f>'2_收入结构拆解'!C14/'4_UE单位经济模型'!C6</f>
        <v/>
      </c>
      <c r="D7" s="19">
        <f>'2_收入结构拆解'!D14/'4_UE单位经济模型'!D6</f>
        <v/>
      </c>
      <c r="E7" s="61" t="inlineStr">
        <is>
          <t>钱包深度小幅提升</t>
        </is>
      </c>
    </row>
    <row r="8">
      <c r="A8" s="61" t="inlineStr">
        <is>
          <t>每买家分部收入（元）</t>
        </is>
      </c>
      <c r="B8" s="19">
        <f>'2_收入结构拆解'!B13/'4_UE单位经济模型'!B6</f>
        <v/>
      </c>
      <c r="C8" s="19">
        <f>'2_收入结构拆解'!C13/'4_UE单位经济模型'!C6</f>
        <v/>
      </c>
      <c r="D8" s="19">
        <f>'2_收入结构拆解'!D13/'4_UE单位经济模型'!D6</f>
        <v/>
      </c>
      <c r="E8" s="61" t="inlineStr">
        <is>
          <t>变现效率提升</t>
        </is>
      </c>
    </row>
    <row r="9">
      <c r="A9" s="22" t="inlineStr">
        <is>
          <t>每买家 CMR（元）⭐</t>
        </is>
      </c>
      <c r="B9" s="34">
        <f>'2_收入结构拆解'!B7/'4_UE单位经济模型'!B6</f>
        <v/>
      </c>
      <c r="C9" s="34">
        <f>'2_收入结构拆解'!C7/'4_UE单位经济模型'!C6</f>
        <v/>
      </c>
      <c r="D9" s="34">
        <f>'2_收入结构拆解'!D7/'4_UE单位经济模型'!D6</f>
        <v/>
      </c>
      <c r="E9" s="22" t="inlineStr">
        <is>
          <t>BP 最纯指标</t>
        </is>
      </c>
    </row>
    <row r="10">
      <c r="A10" s="61" t="inlineStr">
        <is>
          <t>每买家分部利润（元）</t>
        </is>
      </c>
      <c r="B10" s="19">
        <f>'2_收入结构拆解'!B19/'4_UE单位经济模型'!B6</f>
        <v/>
      </c>
      <c r="C10" s="19">
        <f>'2_收入结构拆解'!C19/'4_UE单位经济模型'!C6</f>
        <v/>
      </c>
      <c r="D10" s="19">
        <f>'2_收入结构拆解'!D19/'4_UE单位经济模型'!D6</f>
        <v/>
      </c>
      <c r="E10" s="61" t="inlineStr">
        <is>
          <t>UE 底线持续向好</t>
        </is>
      </c>
    </row>
    <row r="11" ht="22" customHeight="1" s="56">
      <c r="A11" s="59" t="inlineStr">
        <is>
          <t>【视角 B：每元 CMR 成本结构（估算）】</t>
        </is>
      </c>
    </row>
    <row r="12">
      <c r="A12" s="61" t="inlineStr">
        <is>
          <t>CMR 收入</t>
        </is>
      </c>
      <c r="B12" s="20" t="inlineStr">
        <is>
          <t>1.00</t>
        </is>
      </c>
      <c r="C12" s="20" t="inlineStr">
        <is>
          <t>1.00</t>
        </is>
      </c>
      <c r="D12" s="20" t="inlineStr">
        <is>
          <t>1.00</t>
        </is>
      </c>
      <c r="E12" s="61" t="inlineStr">
        <is>
          <t>基准</t>
        </is>
      </c>
    </row>
    <row r="13">
      <c r="A13" s="61" t="inlineStr">
        <is>
          <t>− 流量获取成本</t>
        </is>
      </c>
      <c r="B13" s="20" t="inlineStr">
        <is>
          <t>-0.08</t>
        </is>
      </c>
      <c r="C13" s="20" t="inlineStr">
        <is>
          <t>-0.07</t>
        </is>
      </c>
      <c r="D13" s="20" t="inlineStr">
        <is>
          <t>-0.07</t>
        </is>
      </c>
      <c r="E13" s="61" t="inlineStr">
        <is>
          <t>搜索/推荐分发成本</t>
        </is>
      </c>
    </row>
    <row r="14">
      <c r="A14" s="61" t="inlineStr">
        <is>
          <t>− 商家运营/客服</t>
        </is>
      </c>
      <c r="B14" s="20" t="inlineStr">
        <is>
          <t>-0.05</t>
        </is>
      </c>
      <c r="C14" s="20" t="inlineStr">
        <is>
          <t>-0.05</t>
        </is>
      </c>
      <c r="D14" s="20" t="inlineStr">
        <is>
          <t>-0.05</t>
        </is>
      </c>
      <c r="E14" s="61" t="inlineStr">
        <is>
          <t>—</t>
        </is>
      </c>
    </row>
    <row r="15">
      <c r="A15" s="61" t="inlineStr">
        <is>
          <t>− 技术/IT 分摊</t>
        </is>
      </c>
      <c r="B15" s="20" t="inlineStr">
        <is>
          <t>-0.04</t>
        </is>
      </c>
      <c r="C15" s="20" t="inlineStr">
        <is>
          <t>-0.04</t>
        </is>
      </c>
      <c r="D15" s="20" t="inlineStr">
        <is>
          <t>-0.04</t>
        </is>
      </c>
      <c r="E15" s="61" t="inlineStr">
        <is>
          <t>—</t>
        </is>
      </c>
    </row>
    <row r="16">
      <c r="A16" s="61" t="inlineStr">
        <is>
          <t>− 营销与品牌</t>
        </is>
      </c>
      <c r="B16" s="20" t="inlineStr">
        <is>
          <t>-0.10</t>
        </is>
      </c>
      <c r="C16" s="20" t="inlineStr">
        <is>
          <t>-0.09</t>
        </is>
      </c>
      <c r="D16" s="20" t="inlineStr">
        <is>
          <t>-0.08</t>
        </is>
      </c>
      <c r="E16" s="61" t="inlineStr">
        <is>
          <t>含天猫双 11 品牌投放</t>
        </is>
      </c>
    </row>
    <row r="17">
      <c r="A17" s="61" t="inlineStr">
        <is>
          <t>− 研发分摊</t>
        </is>
      </c>
      <c r="B17" s="20" t="inlineStr">
        <is>
          <t>-0.04</t>
        </is>
      </c>
      <c r="C17" s="20" t="inlineStr">
        <is>
          <t>-0.04</t>
        </is>
      </c>
      <c r="D17" s="20" t="inlineStr">
        <is>
          <t>-0.04</t>
        </is>
      </c>
      <c r="E17" s="61" t="inlineStr">
        <is>
          <t>研发费用按收入比例分摊</t>
        </is>
      </c>
    </row>
    <row r="18">
      <c r="A18" s="61" t="inlineStr">
        <is>
          <t>− 管理与其他</t>
        </is>
      </c>
      <c r="B18" s="20" t="inlineStr">
        <is>
          <t>-0.03</t>
        </is>
      </c>
      <c r="C18" s="20" t="inlineStr">
        <is>
          <t>-0.03</t>
        </is>
      </c>
      <c r="D18" s="20" t="inlineStr">
        <is>
          <t>-0.03</t>
        </is>
      </c>
      <c r="E18" s="61" t="inlineStr">
        <is>
          <t>—</t>
        </is>
      </c>
    </row>
    <row r="19">
      <c r="A19" s="22" t="inlineStr">
        <is>
          <t>每元 CMR 经营利润 ⭐</t>
        </is>
      </c>
      <c r="B19" s="24" t="inlineStr">
        <is>
          <t>0.66</t>
        </is>
      </c>
      <c r="C19" s="24" t="inlineStr">
        <is>
          <t>0.68</t>
        </is>
      </c>
      <c r="D19" s="24" t="inlineStr">
        <is>
          <t>0.69</t>
        </is>
      </c>
      <c r="E19" s="22" t="inlineStr">
        <is>
          <t>高毛利广告业务的真实经济模型</t>
        </is>
      </c>
    </row>
    <row r="20" ht="22" customHeight="1" s="56">
      <c r="A20" s="59" t="inlineStr">
        <is>
          <t>【视角 C：每笔订单】</t>
        </is>
      </c>
    </row>
    <row r="21">
      <c r="A21" s="61" t="inlineStr">
        <is>
          <t>年订单数（亿单）⚠</t>
        </is>
      </c>
      <c r="B21" s="19" t="n">
        <v>927</v>
      </c>
      <c r="C21" s="19" t="n">
        <v>1000</v>
      </c>
      <c r="D21" s="19" t="n">
        <v>997</v>
      </c>
      <c r="E21" s="61" t="inlineStr">
        <is>
          <t>AAC × 频次反推</t>
        </is>
      </c>
    </row>
    <row r="22">
      <c r="A22" s="61" t="inlineStr">
        <is>
          <t>客单价 AOV（元）</t>
        </is>
      </c>
      <c r="B22" s="19" t="n">
        <v>86</v>
      </c>
      <c r="C22" s="19" t="n">
        <v>78</v>
      </c>
      <c r="D22" s="19" t="n">
        <v>76</v>
      </c>
      <c r="E22" s="61" t="inlineStr">
        <is>
          <t>消费降级 + 高频低价化</t>
        </is>
      </c>
    </row>
    <row r="23">
      <c r="A23" s="61" t="inlineStr">
        <is>
          <t>CMR/单（元）</t>
        </is>
      </c>
      <c r="B23" s="20" t="inlineStr">
        <is>
          <t>3.16</t>
        </is>
      </c>
      <c r="C23" s="20" t="inlineStr">
        <is>
          <t>3.06</t>
        </is>
      </c>
      <c r="D23" s="20" t="inlineStr">
        <is>
          <t>3.14</t>
        </is>
      </c>
      <c r="E23" s="61" t="inlineStr">
        <is>
          <t>单笔抽水基本稳</t>
        </is>
      </c>
    </row>
    <row r="25" ht="50" customHeight="1" s="56">
      <c r="A25" s="60" t="inlineStr">
        <is>
          <t>💡 UE 三视角综合：FY25 每买家 CMR 339 元（CMR 3223亿 / AAC 9.5亿）—— 三年从 283 涨到 339（+20%）。但每买家分部利润仅 207 元（FY23 184），说明变现效率上升的同时，单位利润提升幅度有限——佣金为主的变现模型相比广告需要更多运营投入，反映在利润率持续下降上。</t>
        </is>
      </c>
    </row>
  </sheetData>
  <mergeCells count="6">
    <mergeCell ref="A20:E20"/>
    <mergeCell ref="A2:E2"/>
    <mergeCell ref="A25:E25"/>
    <mergeCell ref="A11:E11"/>
    <mergeCell ref="A1:E1"/>
    <mergeCell ref="A5:E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F7" sqref="F7"/>
    </sheetView>
  </sheetViews>
  <sheetFormatPr baseColWidth="8" defaultRowHeight="14"/>
  <cols>
    <col width="6" customWidth="1" style="56" min="1" max="1"/>
    <col width="28" customWidth="1" style="56" min="2" max="2"/>
    <col width="12" customWidth="1" style="56" min="3" max="5"/>
    <col width="28" customWidth="1" style="56" min="6" max="6"/>
  </cols>
  <sheetData>
    <row r="1" ht="36" customHeight="1" s="56">
      <c r="A1" s="58" t="inlineStr">
        <is>
          <t>Driver Tree 三层穿透</t>
        </is>
      </c>
    </row>
    <row r="2" ht="22" customHeight="1" s="56">
      <c r="A2" s="57" t="inlineStr">
        <is>
          <t>公式：CMR = AAC × 每买家GMV × Take Rate；Take Rate = 广告变现率 + 佣金率</t>
        </is>
      </c>
    </row>
    <row r="4" ht="14.5" customHeight="1" s="56">
      <c r="A4" s="10" t="inlineStr">
        <is>
          <t>层级</t>
        </is>
      </c>
      <c r="B4" s="10" t="inlineStr">
        <is>
          <t>驱动因子</t>
        </is>
      </c>
      <c r="C4" s="10" t="inlineStr">
        <is>
          <t>FY23</t>
        </is>
      </c>
      <c r="D4" s="10" t="inlineStr">
        <is>
          <t>FY24</t>
        </is>
      </c>
      <c r="E4" s="10" t="inlineStr">
        <is>
          <t>FY25</t>
        </is>
      </c>
      <c r="F4" s="10" t="inlineStr">
        <is>
          <t>FY25-FY23 / 解读</t>
        </is>
      </c>
    </row>
    <row r="5" ht="22" customHeight="1" s="56">
      <c r="A5" s="59" t="inlineStr">
        <is>
          <t>【一级因子：CMR = AAC × 每买家GMV × Take Rate】</t>
        </is>
      </c>
    </row>
    <row r="6">
      <c r="A6" s="28" t="inlineStr">
        <is>
          <t>L1</t>
        </is>
      </c>
      <c r="B6" s="61" t="inlineStr">
        <is>
          <t>AAC（亿）⚠</t>
        </is>
      </c>
      <c r="C6" s="35" t="n">
        <v>10.3</v>
      </c>
      <c r="D6" s="35" t="n">
        <v>10</v>
      </c>
      <c r="E6" s="35" t="n">
        <v>9.5</v>
      </c>
      <c r="F6" s="61" t="inlineStr">
        <is>
          <t>−0.8 ⇩ 拖累</t>
        </is>
      </c>
    </row>
    <row r="7">
      <c r="A7" s="28" t="inlineStr">
        <is>
          <t>L1</t>
        </is>
      </c>
      <c r="B7" s="61" t="inlineStr">
        <is>
          <t>每买家 GMV（元）</t>
        </is>
      </c>
      <c r="C7" s="19" t="n">
        <v>7767</v>
      </c>
      <c r="D7" s="19" t="n">
        <v>7800</v>
      </c>
      <c r="E7" s="19" t="n">
        <v>8000</v>
      </c>
      <c r="F7" s="61" t="inlineStr">
        <is>
          <t>+233 ⇧ 提升</t>
        </is>
      </c>
    </row>
    <row r="8">
      <c r="A8" s="36" t="inlineStr">
        <is>
          <t>L1</t>
        </is>
      </c>
      <c r="B8" s="14" t="inlineStr">
        <is>
          <t>CMR Take Rate% ⭐</t>
        </is>
      </c>
      <c r="C8" s="37" t="n">
        <v>3.64</v>
      </c>
      <c r="D8" s="37" t="n">
        <v>3.9</v>
      </c>
      <c r="E8" s="37" t="n">
        <v>4.24</v>
      </c>
      <c r="F8" s="14" t="inlineStr">
        <is>
          <t>+0.60pct ⇧ 提升（佣金率拉动为主）</t>
        </is>
      </c>
    </row>
    <row r="9">
      <c r="A9" s="38" t="n"/>
      <c r="B9" s="39" t="inlineStr">
        <is>
          <t>推算 CMR（亿）= 公式</t>
        </is>
      </c>
      <c r="C9" s="40">
        <f>C6*C7*C8/100</f>
        <v/>
      </c>
      <c r="D9" s="40">
        <f>D6*D7*D8/100</f>
        <v/>
      </c>
      <c r="E9" s="40">
        <f>E6*E7*E8/100</f>
        <v/>
      </c>
      <c r="F9" s="39" t="inlineStr">
        <is>
          <t>公式自动算</t>
        </is>
      </c>
    </row>
    <row r="10" ht="22" customHeight="1" s="56">
      <c r="A10" s="59" t="inlineStr">
        <is>
          <t>【二级因子：Take Rate 拆分（广告 + 佣金）】</t>
        </is>
      </c>
    </row>
    <row r="11">
      <c r="A11" s="28" t="inlineStr">
        <is>
          <t>L2</t>
        </is>
      </c>
      <c r="B11" s="61" t="inlineStr">
        <is>
          <t>广告变现率 %</t>
        </is>
      </c>
      <c r="C11" s="41" t="n">
        <v>2.62</v>
      </c>
      <c r="D11" s="41" t="n">
        <v>2.65</v>
      </c>
      <c r="E11" s="41" t="n">
        <v>2.71</v>
      </c>
      <c r="F11" s="61" t="inlineStr">
        <is>
          <t>+0.09pct ⇧ 微涨（绝对额下降）</t>
        </is>
      </c>
    </row>
    <row r="12">
      <c r="A12" s="28" t="inlineStr">
        <is>
          <t>L2</t>
        </is>
      </c>
      <c r="B12" s="61" t="inlineStr">
        <is>
          <t>佣金率 %</t>
        </is>
      </c>
      <c r="C12" s="41" t="n">
        <v>1.02</v>
      </c>
      <c r="D12" s="41" t="n">
        <v>1.25</v>
      </c>
      <c r="E12" s="41" t="n">
        <v>1.53</v>
      </c>
      <c r="F12" s="61" t="inlineStr">
        <is>
          <t>+0.51pct ⇧⇧ 主导驱动（结构性切换）</t>
        </is>
      </c>
    </row>
    <row r="13">
      <c r="A13" s="38" t="n"/>
      <c r="B13" s="39" t="inlineStr">
        <is>
          <t>合计 Take Rate %（=广告+佣金）</t>
        </is>
      </c>
      <c r="C13" s="21">
        <f>C11+C12</f>
        <v/>
      </c>
      <c r="D13" s="21">
        <f>D11+D12</f>
        <v/>
      </c>
      <c r="E13" s="21">
        <f>E11+E12</f>
        <v/>
      </c>
      <c r="F13" s="39" t="inlineStr">
        <is>
          <t>应等于 4.12% ✓</t>
        </is>
      </c>
    </row>
    <row r="14" ht="22" customHeight="1" s="56">
      <c r="A14" s="59" t="inlineStr">
        <is>
          <t>【三级因子：广告变现率 = 投放渗透率 × 平均投放 × 转化率指数】</t>
        </is>
      </c>
    </row>
    <row r="15">
      <c r="A15" s="28" t="inlineStr">
        <is>
          <t>L3</t>
        </is>
      </c>
      <c r="B15" s="61" t="inlineStr">
        <is>
          <t>(广告维度) 商家投放渗透率% ⚠</t>
        </is>
      </c>
      <c r="C15" s="42" t="n">
        <v>35</v>
      </c>
      <c r="D15" s="42" t="n">
        <v>38</v>
      </c>
      <c r="E15" s="42" t="n">
        <v>42</v>
      </c>
      <c r="F15" s="61" t="inlineStr">
        <is>
          <t>+7pct ⇧ 中小商家投放扩面</t>
        </is>
      </c>
    </row>
    <row r="16">
      <c r="A16" s="28" t="inlineStr">
        <is>
          <t>L3</t>
        </is>
      </c>
      <c r="B16" s="61" t="inlineStr">
        <is>
          <t>(广告维度) 平均投放（万元/商家）⚠</t>
        </is>
      </c>
      <c r="C16" s="42" t="n">
        <v>28</v>
      </c>
      <c r="D16" s="42" t="n">
        <v>30</v>
      </c>
      <c r="E16" s="42" t="n">
        <v>31</v>
      </c>
      <c r="F16" s="61" t="inlineStr">
        <is>
          <t>+3 ⇧ ROI 改善带动加投</t>
        </is>
      </c>
    </row>
    <row r="17">
      <c r="A17" s="28" t="inlineStr">
        <is>
          <t>L3</t>
        </is>
      </c>
      <c r="B17" s="61" t="inlineStr">
        <is>
          <t>(佣金维度) 类目佣金率提升 + 订单服务费 ⚠</t>
        </is>
      </c>
      <c r="C17" s="42" t="inlineStr">
        <is>
          <t>—</t>
        </is>
      </c>
      <c r="D17" s="42" t="inlineStr">
        <is>
          <t>+5%</t>
        </is>
      </c>
      <c r="E17" s="42" t="inlineStr">
        <is>
          <t>+12%</t>
        </is>
      </c>
      <c r="F17" s="61" t="inlineStr">
        <is>
          <t>FY25 大幅提升（天猫部分类目+全站推产品）</t>
        </is>
      </c>
    </row>
    <row r="19" ht="50" customHeight="1" s="56">
      <c r="A19" s="60" t="inlineStr">
        <is>
          <t>💡 Driver Tree 总结：FY25 Take Rate +0.60pct 的真正驱动不是"广告越收越多"，而是"佣金率结构性切换"——佣金率三年从 1.02% 升到 1.53% (+0.51pct)，贡献 Take Rate 增量的 85%。广告变现率相对平稳 (2.62→2.71%)。这说明阿里变现路径在转：广告天花板已现，转向更稳定的"GMV 抽佣"模式。</t>
        </is>
      </c>
    </row>
  </sheetData>
  <mergeCells count="6">
    <mergeCell ref="A2:F2"/>
    <mergeCell ref="A10:F10"/>
    <mergeCell ref="A19:F19"/>
    <mergeCell ref="A14:F14"/>
    <mergeCell ref="A1:F1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14" activePane="bottomLeft" state="frozen"/>
      <selection pane="bottomLeft" activeCell="A23" sqref="A23:E23"/>
    </sheetView>
  </sheetViews>
  <sheetFormatPr baseColWidth="8" defaultRowHeight="14"/>
  <cols>
    <col width="22" customWidth="1" style="56" min="1" max="1"/>
    <col width="12" customWidth="1" style="56" min="2" max="4"/>
    <col width="32" customWidth="1" style="56" min="5" max="5"/>
  </cols>
  <sheetData>
    <row r="1" ht="36" customHeight="1" s="56">
      <c r="A1" s="58" t="inlineStr">
        <is>
          <t>三家可比口径对标（已剔除 Temu / 物流 / 海外）</t>
        </is>
      </c>
    </row>
    <row r="2" ht="22" customHeight="1" s="56">
      <c r="A2" s="57" t="inlineStr">
        <is>
          <t>口径：FY25 ≈ CY2024</t>
        </is>
      </c>
    </row>
    <row r="4" ht="14.5" customHeight="1" s="56">
      <c r="A4" s="10" t="inlineStr">
        <is>
          <t>指标</t>
        </is>
      </c>
      <c r="B4" s="10" t="inlineStr">
        <is>
          <t>淘天</t>
        </is>
      </c>
      <c r="C4" s="10" t="inlineStr">
        <is>
          <t>PDD 主站</t>
        </is>
      </c>
      <c r="D4" s="10" t="inlineStr">
        <is>
          <t>JD 零售</t>
        </is>
      </c>
      <c r="E4" s="10" t="inlineStr">
        <is>
          <t>BP 洞察</t>
        </is>
      </c>
    </row>
    <row r="5" ht="22" customHeight="1" s="56">
      <c r="A5" s="59" t="inlineStr">
        <is>
          <t>【规模】</t>
        </is>
      </c>
    </row>
    <row r="6">
      <c r="A6" s="61" t="inlineStr">
        <is>
          <t>GMV(万亿)</t>
        </is>
      </c>
      <c r="B6" s="98" t="n">
        <v>7.6</v>
      </c>
      <c r="C6" s="98" t="n">
        <v>5.3</v>
      </c>
      <c r="D6" s="98" t="n">
        <v>3.05</v>
      </c>
      <c r="E6" s="61" t="inlineStr">
        <is>
          <t>淘天 &gt;&gt; PDD &gt;&gt; JD</t>
        </is>
      </c>
    </row>
    <row r="7">
      <c r="A7" s="61" t="inlineStr">
        <is>
          <t>GMV YoY%</t>
        </is>
      </c>
      <c r="B7" s="98" t="n">
        <v>-2.6</v>
      </c>
      <c r="C7" s="98" t="n">
        <v>29</v>
      </c>
      <c r="D7" s="98" t="n">
        <v>5.2</v>
      </c>
      <c r="E7" s="61" t="inlineStr">
        <is>
          <t>淘天 GMV 仍下降，但收入侧通过佣金率切换实现 +3.4% 增长</t>
        </is>
      </c>
    </row>
    <row r="8">
      <c r="A8" s="61" t="inlineStr">
        <is>
          <t>市占率%</t>
        </is>
      </c>
      <c r="B8" s="98" t="n">
        <v>45.2</v>
      </c>
      <c r="C8" s="98" t="n">
        <v>31.5</v>
      </c>
      <c r="D8" s="98" t="n">
        <v>18.2</v>
      </c>
      <c r="E8" s="61" t="inlineStr">
        <is>
          <t>差距三年从 35pct 缩到 14pct</t>
        </is>
      </c>
    </row>
    <row r="9" ht="22" customHeight="1" s="56">
      <c r="A9" s="59" t="inlineStr">
        <is>
          <t>【变现能力】</t>
        </is>
      </c>
    </row>
    <row r="10">
      <c r="A10" s="61" t="inlineStr">
        <is>
          <t>分部收入(亿)</t>
        </is>
      </c>
      <c r="B10" s="19" t="n">
        <v>4498</v>
      </c>
      <c r="C10" s="19" t="n">
        <v>2750</v>
      </c>
      <c r="D10" s="19" t="n">
        <v>10037</v>
      </c>
      <c r="E10" s="61" t="inlineStr">
        <is>
          <t>JD 自营口径不可比</t>
        </is>
      </c>
    </row>
    <row r="11">
      <c r="A11" s="61" t="inlineStr">
        <is>
          <t>综合TakeRate%</t>
        </is>
      </c>
      <c r="B11" s="98" t="n">
        <v>5.92</v>
      </c>
      <c r="C11" s="98" t="n">
        <v>5.19</v>
      </c>
      <c r="D11" s="20" t="inlineStr">
        <is>
          <t>—</t>
        </is>
      </c>
      <c r="E11" s="61" t="inlineStr">
        <is>
          <t>淘天领先 0.54pct</t>
        </is>
      </c>
    </row>
    <row r="12">
      <c r="A12" s="22" t="inlineStr">
        <is>
          <t>CMR_TakeRate%</t>
        </is>
      </c>
      <c r="B12" s="102" t="n">
        <v>4.24</v>
      </c>
      <c r="C12" s="102" t="n">
        <v>3.74</v>
      </c>
      <c r="D12" s="24" t="inlineStr">
        <is>
          <t>—</t>
        </is>
      </c>
      <c r="E12" s="22" t="inlineStr">
        <is>
          <t>⭐ 淘天广告效率仍最高</t>
        </is>
      </c>
    </row>
    <row r="13" ht="22" customHeight="1" s="56">
      <c r="A13" s="59" t="inlineStr">
        <is>
          <t>【盈利效率】</t>
        </is>
      </c>
    </row>
    <row r="14">
      <c r="A14" s="61" t="inlineStr">
        <is>
          <t>经营利润(亿)</t>
        </is>
      </c>
      <c r="B14" s="19" t="n">
        <v>1962</v>
      </c>
      <c r="C14" s="19" t="n">
        <v>900</v>
      </c>
      <c r="D14" s="19" t="n">
        <v>447</v>
      </c>
      <c r="E14" s="61" t="inlineStr">
        <is>
          <t>—</t>
        </is>
      </c>
    </row>
    <row r="15">
      <c r="A15" s="61" t="inlineStr">
        <is>
          <t>经营利润率%</t>
        </is>
      </c>
      <c r="B15" s="98" t="n">
        <v>43.62</v>
      </c>
      <c r="C15" s="98" t="n">
        <v>32.7</v>
      </c>
      <c r="D15" s="98" t="n">
        <v>4.5</v>
      </c>
      <c r="E15" s="61" t="inlineStr">
        <is>
          <t>淘天利润率最高，但 FY25 已开始结构性下降（45.8→43.6%）</t>
        </is>
      </c>
    </row>
    <row r="16">
      <c r="A16" s="22" t="inlineStr">
        <is>
          <t>每买家分部利润(元)</t>
        </is>
      </c>
      <c r="B16" s="34" t="n">
        <v>206</v>
      </c>
      <c r="C16" s="102" t="n">
        <v>92</v>
      </c>
      <c r="D16" s="102" t="n">
        <v>73</v>
      </c>
      <c r="E16" s="22" t="inlineStr">
        <is>
          <t>⭐ 淘天单买家盈利仍是 PDD 的 2.2 倍（206 vs 92），但优势在收窄</t>
        </is>
      </c>
    </row>
    <row r="17" ht="22" customHeight="1" s="56">
      <c r="A17" s="59" t="inlineStr">
        <is>
          <t>【用户经济】</t>
        </is>
      </c>
    </row>
    <row r="18">
      <c r="A18" s="61" t="inlineStr">
        <is>
          <t>AAC(亿)</t>
        </is>
      </c>
      <c r="B18" s="98" t="n">
        <v>9.5</v>
      </c>
      <c r="C18" s="98" t="n">
        <v>9.800000000000001</v>
      </c>
      <c r="D18" s="98" t="n">
        <v>6.1</v>
      </c>
      <c r="E18" s="61" t="inlineStr">
        <is>
          <t>PDD 用户已超淘天</t>
        </is>
      </c>
    </row>
    <row r="19">
      <c r="A19" s="61" t="inlineStr">
        <is>
          <t>买家年GMV(元)</t>
        </is>
      </c>
      <c r="B19" s="19" t="n">
        <v>8000</v>
      </c>
      <c r="C19" s="19" t="n">
        <v>5408</v>
      </c>
      <c r="D19" s="19" t="n">
        <v>5000</v>
      </c>
      <c r="E19" s="61" t="inlineStr">
        <is>
          <t>淘天钱包深度仍领先</t>
        </is>
      </c>
    </row>
    <row r="20">
      <c r="A20" s="61" t="inlineStr">
        <is>
          <t>客单价AOV(元)</t>
        </is>
      </c>
      <c r="B20" s="98" t="n">
        <v>76</v>
      </c>
      <c r="C20" s="98" t="n">
        <v>69</v>
      </c>
      <c r="D20" s="19" t="n">
        <v>3800</v>
      </c>
      <c r="E20" s="61" t="inlineStr">
        <is>
          <t>JD 3C 高客单</t>
        </is>
      </c>
    </row>
    <row r="21">
      <c r="A21" s="61" t="inlineStr">
        <is>
          <t>年下单频次</t>
        </is>
      </c>
      <c r="B21" s="19" t="n">
        <v>105</v>
      </c>
      <c r="C21" s="98" t="n">
        <v>78</v>
      </c>
      <c r="D21" s="98" t="n">
        <v>50</v>
      </c>
      <c r="E21" s="61" t="inlineStr">
        <is>
          <t>淘天频次最高</t>
        </is>
      </c>
    </row>
    <row r="23" ht="50" customHeight="1" s="56">
      <c r="A23" s="60" t="inlineStr">
        <is>
          <t>💡 对标三结论：① 体量上淘天仍是规模王，但 GMV 已 -2.6% 与 PDD +29% 形成强烈反差；② 变现率上淘天 5.92% 仍领先 PDD 5.19%，但领先优势主要靠佣金率（不是广告）；③ 淘天经营利润率 43.6% 已三年连降，PDD 的 32.7% 仍在上升——长期看两者会收敛。</t>
        </is>
      </c>
    </row>
  </sheetData>
  <mergeCells count="7">
    <mergeCell ref="A2:E2"/>
    <mergeCell ref="A1:E1"/>
    <mergeCell ref="A23:E23"/>
    <mergeCell ref="A5:E5"/>
    <mergeCell ref="A13:E13"/>
    <mergeCell ref="A17:E17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E16" sqref="E16"/>
    </sheetView>
  </sheetViews>
  <sheetFormatPr baseColWidth="8" defaultRowHeight="14"/>
  <cols>
    <col width="10" customWidth="1" style="56" min="1" max="1"/>
    <col width="12" customWidth="1" style="56" min="2" max="2"/>
    <col width="14" customWidth="1" style="56" min="3" max="3"/>
    <col width="12" customWidth="1" style="56" min="4" max="4"/>
    <col width="14" customWidth="1" style="56" min="5" max="5"/>
    <col width="16" customWidth="1" style="56" min="6" max="6"/>
    <col width="14" customWidth="1" style="56" min="7" max="7"/>
    <col width="12" customWidth="1" style="56" min="8" max="8"/>
  </cols>
  <sheetData>
    <row r="1" ht="36" customHeight="1" s="56">
      <c r="A1" s="58" t="inlineStr">
        <is>
          <t>FY26 CMR 五情景预测 + 弹性矩阵</t>
        </is>
      </c>
    </row>
    <row r="2" ht="22" customHeight="1" s="56">
      <c r="A2" s="57" t="inlineStr">
        <is>
          <t>可修改浅蓝输入区，浅绿区自动重算  |  起点：FY25 AAC=9.5亿、每买家GMV=8000元、CMR=3132亿</t>
        </is>
      </c>
    </row>
    <row r="4" ht="29" customHeight="1" s="56">
      <c r="A4" s="10" t="inlineStr">
        <is>
          <t>情景</t>
        </is>
      </c>
      <c r="B4" s="10" t="inlineStr">
        <is>
          <t>AAC YoY%</t>
        </is>
      </c>
      <c r="C4" s="10" t="inlineStr">
        <is>
          <t>每买家GMV YoY%</t>
        </is>
      </c>
      <c r="D4" s="10" t="inlineStr">
        <is>
          <t>Take Rate %</t>
        </is>
      </c>
      <c r="E4" s="10" t="inlineStr">
        <is>
          <t>推算 AAC（亿）</t>
        </is>
      </c>
      <c r="F4" s="10" t="inlineStr">
        <is>
          <t>推算 GMV（万亿）</t>
        </is>
      </c>
      <c r="G4" s="10" t="inlineStr">
        <is>
          <t>推算 CMR（亿）</t>
        </is>
      </c>
      <c r="H4" s="10" t="inlineStr">
        <is>
          <t>CMR YoY%</t>
        </is>
      </c>
    </row>
    <row r="5" ht="22" customHeight="1" s="56">
      <c r="A5" s="59" t="inlineStr">
        <is>
          <t>【输入区（浅蓝可修改）】 + 【计算区（浅绿自动）】</t>
        </is>
      </c>
    </row>
    <row r="6">
      <c r="A6" s="26" t="inlineStr">
        <is>
          <t>极悲观</t>
        </is>
      </c>
      <c r="B6" s="103" t="n">
        <v>-10</v>
      </c>
      <c r="C6" s="103" t="n">
        <v>-5</v>
      </c>
      <c r="D6" s="45" t="n">
        <v>3.95</v>
      </c>
      <c r="E6" s="21">
        <f>9.5*(1+B6/100)</f>
        <v/>
      </c>
      <c r="F6" s="21">
        <f>E6*8000*(1+C6/100)/10000</f>
        <v/>
      </c>
      <c r="G6" s="34">
        <f>F6*10000*D6/100</f>
        <v/>
      </c>
      <c r="H6" s="104">
        <f>(G6-3223)/3223*100</f>
        <v/>
      </c>
    </row>
    <row r="7">
      <c r="A7" s="26" t="inlineStr">
        <is>
          <t>悲观</t>
        </is>
      </c>
      <c r="B7" s="103" t="n">
        <v>-8</v>
      </c>
      <c r="C7" s="103" t="n">
        <v>-3</v>
      </c>
      <c r="D7" s="45" t="n">
        <v>4.05</v>
      </c>
      <c r="E7" s="21">
        <f>9.5*(1+B7/100)</f>
        <v/>
      </c>
      <c r="F7" s="21">
        <f>E7*8000*(1+C7/100)/10000</f>
        <v/>
      </c>
      <c r="G7" s="34">
        <f>F7*10000*D7/100</f>
        <v/>
      </c>
      <c r="H7" s="104">
        <f>(G7-3223)/3223*100</f>
        <v/>
      </c>
    </row>
    <row r="8">
      <c r="A8" s="26" t="inlineStr">
        <is>
          <t>基准</t>
        </is>
      </c>
      <c r="B8" s="103" t="n">
        <v>-3</v>
      </c>
      <c r="C8" s="103" t="n">
        <v>2</v>
      </c>
      <c r="D8" s="45" t="n">
        <v>4.2</v>
      </c>
      <c r="E8" s="21">
        <f>9.5*(1+B8/100)</f>
        <v/>
      </c>
      <c r="F8" s="21">
        <f>E8*8000*(1+C8/100)/10000</f>
        <v/>
      </c>
      <c r="G8" s="34">
        <f>F8*10000*D8/100</f>
        <v/>
      </c>
      <c r="H8" s="104">
        <f>(G8-3223)/3223*100</f>
        <v/>
      </c>
    </row>
    <row r="9">
      <c r="A9" s="26" t="inlineStr">
        <is>
          <t>乐观</t>
        </is>
      </c>
      <c r="B9" s="103" t="n">
        <v>0</v>
      </c>
      <c r="C9" s="103" t="n">
        <v>5</v>
      </c>
      <c r="D9" s="45" t="n">
        <v>4.3</v>
      </c>
      <c r="E9" s="21">
        <f>9.5*(1+B9/100)</f>
        <v/>
      </c>
      <c r="F9" s="21">
        <f>E9*8000*(1+C9/100)/10000</f>
        <v/>
      </c>
      <c r="G9" s="34">
        <f>F9*10000*D9/100</f>
        <v/>
      </c>
      <c r="H9" s="104">
        <f>(G9-3223)/3223*100</f>
        <v/>
      </c>
    </row>
    <row r="10">
      <c r="A10" s="26" t="inlineStr">
        <is>
          <t>极乐观</t>
        </is>
      </c>
      <c r="B10" s="103" t="n">
        <v>3</v>
      </c>
      <c r="C10" s="103" t="n">
        <v>8</v>
      </c>
      <c r="D10" s="45" t="n">
        <v>4.4</v>
      </c>
      <c r="E10" s="21">
        <f>9.5*(1+B10/100)</f>
        <v/>
      </c>
      <c r="F10" s="21">
        <f>E10*8000*(1+C10/100)/10000</f>
        <v/>
      </c>
      <c r="G10" s="34">
        <f>F10*10000*D10/100</f>
        <v/>
      </c>
      <c r="H10" s="104">
        <f>(G10-3223)/3223*100</f>
        <v/>
      </c>
    </row>
    <row r="12" ht="22" customHeight="1" s="56">
      <c r="A12" s="59" t="inlineStr">
        <is>
          <t>【弹性矩阵：每变 +1pct 对 FY26 CMR 影响】</t>
        </is>
      </c>
    </row>
    <row r="13" ht="29" customHeight="1" s="56">
      <c r="A13" s="10" t="inlineStr">
        <is>
          <t>变量</t>
        </is>
      </c>
      <c r="B13" s="10" t="inlineStr">
        <is>
          <t>+1pct CMR 影响（亿）</t>
        </is>
      </c>
      <c r="C13" s="10" t="inlineStr">
        <is>
          <t>% of FY25 CMR</t>
        </is>
      </c>
      <c r="D13" s="10" t="inlineStr">
        <is>
          <t>BP 监控权重</t>
        </is>
      </c>
      <c r="E13" s="10" t="n"/>
      <c r="F13" s="10" t="n"/>
      <c r="G13" s="10" t="n"/>
    </row>
    <row r="14" ht="26" customHeight="1" s="56">
      <c r="A14" s="61" t="inlineStr">
        <is>
          <t>AAC YoY +1pct</t>
        </is>
      </c>
      <c r="B14" s="105" t="n">
        <v>31</v>
      </c>
      <c r="C14" s="106" t="n">
        <v>0.01</v>
      </c>
      <c r="D14" s="61" t="inlineStr">
        <is>
          <t>高</t>
        </is>
      </c>
    </row>
    <row r="15" ht="26" customHeight="1" s="56">
      <c r="A15" s="61" t="inlineStr">
        <is>
          <t>每买家GMV YoY +1pct</t>
        </is>
      </c>
      <c r="B15" s="105" t="n">
        <v>31</v>
      </c>
      <c r="C15" s="106" t="n">
        <v>0.01</v>
      </c>
      <c r="D15" s="61" t="inlineStr">
        <is>
          <t>高</t>
        </is>
      </c>
    </row>
    <row r="16" ht="26" customHeight="1" s="56">
      <c r="A16" s="22" t="inlineStr">
        <is>
          <t>Take Rate +0.10pct</t>
        </is>
      </c>
      <c r="B16" s="107" t="n">
        <v>76</v>
      </c>
      <c r="C16" s="108" t="n">
        <v>0.024</v>
      </c>
      <c r="D16" s="22" t="inlineStr">
        <is>
          <t>极高（已触顶）</t>
        </is>
      </c>
    </row>
    <row r="17" ht="26" customHeight="1" s="56">
      <c r="A17" s="61" t="inlineStr">
        <is>
          <t>88VIP数 +1000万</t>
        </is>
      </c>
      <c r="B17" s="105" t="n">
        <v>57</v>
      </c>
      <c r="C17" s="106" t="n">
        <v>0.018</v>
      </c>
      <c r="D17" s="61" t="inlineStr">
        <is>
          <t>中（执行难度大）</t>
        </is>
      </c>
    </row>
    <row r="19" ht="50" customHeight="1" s="56">
      <c r="A19" s="64" t="inlineStr">
        <is>
          <t>💡 BP 预算锚定建议：基于 FY25 CMR 3,223 亿基准，FY26 基准情景 CMR 约 3,400 亿（+5%），需要佣金率持续提升空间。悲观情景 -12% 时，重点是费用刚性管理：销售/研发费用率 -1pct/-0.5pct 预案。管理层警惕：FY25 利润率已下降 2.2pct，FY26 若 GMV 继续下行，利润率压力将加剧。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7" activePane="bottomLeft" state="frozen"/>
      <selection pane="bottomLeft" activeCell="A1" sqref="A1:F1"/>
    </sheetView>
  </sheetViews>
  <sheetFormatPr baseColWidth="8" defaultRowHeight="14"/>
  <cols>
    <col width="4" customWidth="1" style="56" min="1" max="1"/>
    <col width="18" customWidth="1" style="56" min="2" max="2"/>
    <col width="26" customWidth="1" style="56" min="3" max="3"/>
    <col width="22" customWidth="1" style="56" min="4" max="5"/>
    <col width="26" customWidth="1" style="56" min="6" max="6"/>
  </cols>
  <sheetData>
    <row r="1" ht="36" customHeight="1" s="56">
      <c r="A1" s="58" t="inlineStr">
        <is>
          <t>5 大问题诊断 + 量化 BP 建议 + 12 KPI</t>
        </is>
      </c>
    </row>
    <row r="2" ht="22" customHeight="1" s="56">
      <c r="A2" s="57" t="inlineStr">
        <is>
          <t>BP 行动建议遵循"投入 / 回报 / 回收期 / 关键风险"四件套</t>
        </is>
      </c>
    </row>
    <row r="4" ht="14.5" customHeight="1" s="56">
      <c r="A4" s="10" t="inlineStr">
        <is>
          <t>#</t>
        </is>
      </c>
      <c r="B4" s="10" t="inlineStr">
        <is>
          <t>问题</t>
        </is>
      </c>
      <c r="C4" s="10" t="inlineStr">
        <is>
          <t>量化影响</t>
        </is>
      </c>
      <c r="D4" s="10" t="inlineStr">
        <is>
          <t>根因</t>
        </is>
      </c>
      <c r="E4" s="10" t="inlineStr">
        <is>
          <t>改进路径</t>
        </is>
      </c>
      <c r="F4" s="10" t="inlineStr">
        <is>
          <t>量化潜力 / 风险</t>
        </is>
      </c>
    </row>
    <row r="5" ht="50" customHeight="1" s="56">
      <c r="A5" s="51" t="inlineStr">
        <is>
          <t>#1</t>
        </is>
      </c>
      <c r="B5" s="26" t="inlineStr">
        <is>
          <t>AAC 流失</t>
        </is>
      </c>
      <c r="C5" s="61" t="inlineStr">
        <is>
          <t>每流失 1 亿 AAC ≈ -34 亿 CMR/年（按每买家 CMR 339 元）</t>
        </is>
      </c>
      <c r="D5" s="61" t="inlineStr">
        <is>
          <t>PDD低价心智+抖音内容流抢用户</t>
        </is>
      </c>
      <c r="E5" s="61" t="inlineStr">
        <is>
          <t>88VIP扩容 + 淘宝直播二次发力</t>
        </is>
      </c>
      <c r="F5" s="61" t="inlineStr">
        <is>
          <t>AAC回到10亿 ≈ +5%CMR；风险：补贴成本上升</t>
        </is>
      </c>
    </row>
    <row r="6" ht="50" customHeight="1" s="56">
      <c r="A6" s="51" t="inlineStr">
        <is>
          <t>#2</t>
        </is>
      </c>
      <c r="B6" s="26" t="inlineStr">
        <is>
          <t>直营业务亏损</t>
        </is>
      </c>
      <c r="C6" s="61" t="inlineStr">
        <is>
          <t>FY25 利润率 43.6%，三年降 2.2pct，结构性侵蚀（非直营单一原因）</t>
        </is>
      </c>
      <c r="D6" s="61" t="inlineStr">
        <is>
          <t>佣金占比上升压制毛利率（佣金毛利率低于广告）</t>
        </is>
      </c>
      <c r="E6" s="61" t="inlineStr">
        <is>
          <t>广告产品创新+佣金分层定价</t>
        </is>
      </c>
      <c r="F6" s="61" t="inlineStr">
        <is>
          <t>防止利润率跌破 40%；风险：广告增量空间有限</t>
        </is>
      </c>
    </row>
    <row r="7" ht="50" customHeight="1" s="56">
      <c r="A7" s="51" t="inlineStr">
        <is>
          <t>#3</t>
        </is>
      </c>
      <c r="B7" s="26" t="inlineStr">
        <is>
          <t>客单价下滑</t>
        </is>
      </c>
      <c r="C7" s="61" t="inlineStr">
        <is>
          <t>AOV 86→76元，三年-12%</t>
        </is>
      </c>
      <c r="D7" s="61" t="inlineStr">
        <is>
          <t>消费降级 + 品类结构</t>
        </is>
      </c>
      <c r="E7" s="61" t="inlineStr">
        <is>
          <t>推高客单类目（家电/美妆/3C）占比</t>
        </is>
      </c>
      <c r="F7" s="61" t="inlineStr">
        <is>
          <t>AOV回升5% ≈ +5%GMV；风险：高客单类目竞争激烈</t>
        </is>
      </c>
    </row>
    <row r="8" ht="50" customHeight="1" s="56">
      <c r="A8" s="51" t="inlineStr">
        <is>
          <t>#4</t>
        </is>
      </c>
      <c r="B8" s="26" t="inlineStr">
        <is>
          <t>Take Rate 触顶</t>
        </is>
      </c>
      <c r="C8" s="61" t="inlineStr">
        <is>
          <t>4.24% 超 PDD 0.5pct，再上提风险加剧</t>
        </is>
      </c>
      <c r="D8" s="61" t="inlineStr">
        <is>
          <t>广告ROI已被中长尾商家抱怨</t>
        </is>
      </c>
      <c r="E8" s="61" t="inlineStr">
        <is>
          <t>不上提Take Rate，转向广告产品创新</t>
        </is>
      </c>
      <c r="F8" s="61" t="inlineStr">
        <is>
          <t>+0.10pct ≈ +76亿CMR；风险：5-8% 商家流失对冲全部上行</t>
        </is>
      </c>
    </row>
    <row r="9" ht="50" customHeight="1" s="56">
      <c r="A9" s="51" t="inlineStr">
        <is>
          <t>#5</t>
        </is>
      </c>
      <c r="B9" s="26" t="inlineStr">
        <is>
          <t>二曲线缺位</t>
        </is>
      </c>
      <c r="C9" s="61" t="inlineStr">
        <is>
          <t>直播+海外GMV占比&lt;8%</t>
        </is>
      </c>
      <c r="D9" s="61" t="inlineStr">
        <is>
          <t>资源投入分散</t>
        </is>
      </c>
      <c r="E9" s="61" t="inlineStr">
        <is>
          <t>聚焦淘宝直播 + 速卖通AE Choice</t>
        </is>
      </c>
      <c r="F9" s="61" t="inlineStr">
        <is>
          <t>3年贡献GMV占比12%；风险：抖音/Temu竞争</t>
        </is>
      </c>
    </row>
    <row r="11" ht="22" customHeight="1" s="56">
      <c r="A11" s="59" t="inlineStr">
        <is>
          <t>【BP 量化行动建议（投入/回报/回收期/风险四件套）】</t>
        </is>
      </c>
    </row>
    <row r="12" ht="29" customHeight="1" s="56">
      <c r="A12" s="10" t="inlineStr">
        <is>
          <t>行动</t>
        </is>
      </c>
      <c r="B12" s="10" t="inlineStr">
        <is>
          <t>投入</t>
        </is>
      </c>
      <c r="C12" s="10" t="inlineStr">
        <is>
          <t>回报</t>
        </is>
      </c>
      <c r="D12" s="10" t="inlineStr">
        <is>
          <t>回收期</t>
        </is>
      </c>
      <c r="E12" s="10" t="inlineStr">
        <is>
          <t>关键风险</t>
        </is>
      </c>
      <c r="F12" s="10" t="n"/>
    </row>
    <row r="13" ht="50" customHeight="1" s="56">
      <c r="A13" s="26" t="inlineStr">
        <is>
          <t>88VIP 扩 5000万 → 1亿</t>
        </is>
      </c>
      <c r="B13" s="61" t="inlineStr">
        <is>
          <t>会员费补贴+15亿/年；获客成本+8亿/年（合计23亿）</t>
        </is>
      </c>
      <c r="C13" s="61" t="inlineStr">
        <is>
          <t>GMV +480亿；CMR +20.4亿（按 4.24% Take Rate）</t>
        </is>
      </c>
      <c r="D13" s="28" t="inlineStr">
        <is>
          <t>~1.5年</t>
        </is>
      </c>
      <c r="E13" s="61" t="inlineStr">
        <is>
          <t>PDD百亿补贴每加码10亿，VIP流失约3pct</t>
        </is>
      </c>
      <c r="F13" s="61" t="n"/>
    </row>
    <row r="14" ht="50" customHeight="1" s="56">
      <c r="A14" s="26" t="inlineStr">
        <is>
          <t>重新评估直营长尾 SKU</t>
        </is>
      </c>
      <c r="B14" s="61" t="inlineStr">
        <is>
          <t>结构性收缩 -50 亿/年（对比 FY25 已主动收缩 -72 亿）</t>
        </is>
      </c>
      <c r="C14" s="61" t="inlineStr">
        <is>
          <t>聚焦高频日百，提升单 SKU 利润率</t>
        </is>
      </c>
      <c r="D14" s="28" t="inlineStr">
        <is>
          <t>~2 年</t>
        </is>
      </c>
      <c r="E14" s="61" t="inlineStr">
        <is>
          <t>失去高频流量入口，影响 AAC 留存</t>
        </is>
      </c>
      <c r="F14" s="61" t="n"/>
    </row>
    <row r="15" ht="50" customHeight="1" s="56">
      <c r="A15" s="26" t="inlineStr">
        <is>
          <t>防守 Take Rate 在4.10%-4.15%（不上提）</t>
        </is>
      </c>
      <c r="B15" s="61" t="inlineStr">
        <is>
          <t>放弃理论+76亿CMR的上行</t>
        </is>
      </c>
      <c r="C15" s="61" t="inlineStr">
        <is>
          <t>避免商家流失（按 +0.10pct 触发 5-8% 流失，对应 -150~-240亿 GMV）</t>
        </is>
      </c>
      <c r="D15" s="28" t="inlineStr">
        <is>
          <t>—</t>
        </is>
      </c>
      <c r="E15" s="61" t="inlineStr">
        <is>
          <t>商家承受度阈值实际可能更低</t>
        </is>
      </c>
      <c r="F15" s="61" t="n"/>
    </row>
    <row r="16" ht="50" customHeight="1" s="56">
      <c r="A16" s="26" t="inlineStr">
        <is>
          <t>淘宝直播GMV占比 → 12%</t>
        </is>
      </c>
      <c r="B16" s="61" t="inlineStr">
        <is>
          <t>内容补贴+25亿/年；主播激励+10亿/年（合计35亿）</t>
        </is>
      </c>
      <c r="C16" s="61" t="inlineStr">
        <is>
          <t>GMV +1,800亿；CMR +54亿（按 3.0% 直播 Take Rate）</t>
        </is>
      </c>
      <c r="D16" s="28" t="inlineStr">
        <is>
          <t>~2.0年</t>
        </is>
      </c>
      <c r="E16" s="61" t="inlineStr">
        <is>
          <t>抖音电商挤压，主播迁移成本高</t>
        </is>
      </c>
      <c r="F16" s="61" t="n"/>
    </row>
    <row r="18" ht="22" customHeight="1" s="56">
      <c r="A18" s="59" t="inlineStr">
        <is>
          <t>【12 项核心监控 KPI】</t>
        </is>
      </c>
    </row>
    <row r="19" ht="14.5" customHeight="1" s="56">
      <c r="A19" s="10" t="inlineStr">
        <is>
          <t>#</t>
        </is>
      </c>
      <c r="B19" s="10" t="inlineStr">
        <is>
          <t>KPI</t>
        </is>
      </c>
      <c r="C19" s="10" t="inlineStr">
        <is>
          <t>口径</t>
        </is>
      </c>
      <c r="D19" s="10" t="inlineStr">
        <is>
          <t>目标值</t>
        </is>
      </c>
      <c r="E19" s="10" t="inlineStr">
        <is>
          <t>预警阈值</t>
        </is>
      </c>
      <c r="F19" s="10" t="inlineStr">
        <is>
          <t>负责部门</t>
        </is>
      </c>
    </row>
    <row r="20">
      <c r="A20" s="28" t="n">
        <v>1</v>
      </c>
      <c r="B20" s="61" t="inlineStr">
        <is>
          <t>GMV同比</t>
        </is>
      </c>
      <c r="C20" s="61" t="inlineStr">
        <is>
          <t>日历季度</t>
        </is>
      </c>
      <c r="D20" s="20" t="inlineStr">
        <is>
          <t>+0%~+2%</t>
        </is>
      </c>
      <c r="E20" s="20" t="inlineStr">
        <is>
          <t>&lt;-3%</t>
        </is>
      </c>
      <c r="F20" s="61" t="inlineStr">
        <is>
          <t>电商BU</t>
        </is>
      </c>
    </row>
    <row r="21">
      <c r="A21" s="28" t="n">
        <v>2</v>
      </c>
      <c r="B21" s="61" t="inlineStr">
        <is>
          <t>AAC同比</t>
        </is>
      </c>
      <c r="C21" s="61" t="inlineStr">
        <is>
          <t>滚动12月</t>
        </is>
      </c>
      <c r="D21" s="20" t="inlineStr">
        <is>
          <t>持平</t>
        </is>
      </c>
      <c r="E21" s="20" t="inlineStr">
        <is>
          <t>&lt;-3%</t>
        </is>
      </c>
      <c r="F21" s="61" t="inlineStr">
        <is>
          <t>用户增长</t>
        </is>
      </c>
    </row>
    <row r="22">
      <c r="A22" s="28" t="n">
        <v>3</v>
      </c>
      <c r="B22" s="61" t="inlineStr">
        <is>
          <t>每买家CMR同比</t>
        </is>
      </c>
      <c r="C22" s="61" t="inlineStr">
        <is>
          <t>滚动12月</t>
        </is>
      </c>
      <c r="D22" s="20" t="inlineStr">
        <is>
          <t>+5%~+8%</t>
        </is>
      </c>
      <c r="E22" s="20" t="inlineStr">
        <is>
          <t>&lt;+3%</t>
        </is>
      </c>
      <c r="F22" s="61" t="inlineStr">
        <is>
          <t>商业化</t>
        </is>
      </c>
    </row>
    <row r="23">
      <c r="A23" s="28" t="n">
        <v>4</v>
      </c>
      <c r="B23" s="61" t="inlineStr">
        <is>
          <t>CMR同比</t>
        </is>
      </c>
      <c r="C23" s="61" t="inlineStr">
        <is>
          <t>日历季度</t>
        </is>
      </c>
      <c r="D23" s="20" t="inlineStr">
        <is>
          <t>+5%~+8%</t>
        </is>
      </c>
      <c r="E23" s="20" t="inlineStr">
        <is>
          <t>&lt;+3%</t>
        </is>
      </c>
      <c r="F23" s="61" t="inlineStr">
        <is>
          <t>商业化</t>
        </is>
      </c>
    </row>
    <row r="24">
      <c r="A24" s="52" t="n">
        <v>5</v>
      </c>
      <c r="B24" s="22" t="inlineStr">
        <is>
          <t>CMR Take Rate</t>
        </is>
      </c>
      <c r="C24" s="22" t="inlineStr">
        <is>
          <t>CMR/GMV</t>
        </is>
      </c>
      <c r="D24" s="24" t="inlineStr">
        <is>
          <t>+3%~+6%</t>
        </is>
      </c>
      <c r="E24" s="53" t="inlineStr">
        <is>
          <t>&lt;+0%</t>
        </is>
      </c>
      <c r="F24" s="22" t="inlineStr">
        <is>
          <t>商业化</t>
        </is>
      </c>
    </row>
    <row r="25">
      <c r="A25" s="28" t="n">
        <v>6</v>
      </c>
      <c r="B25" s="61" t="inlineStr">
        <is>
          <t>商家投放渗透率</t>
        </is>
      </c>
      <c r="C25" s="61" t="inlineStr">
        <is>
          <t>季度</t>
        </is>
      </c>
      <c r="D25" s="20" t="inlineStr">
        <is>
          <t>4.20%~4.30%</t>
        </is>
      </c>
      <c r="E25" s="20" t="inlineStr">
        <is>
          <t>&lt;4.10% 或 &gt;4.40%</t>
        </is>
      </c>
      <c r="F25" s="61" t="inlineStr">
        <is>
          <t>商业化</t>
        </is>
      </c>
    </row>
    <row r="26">
      <c r="A26" s="28" t="n">
        <v>7</v>
      </c>
      <c r="B26" s="61" t="inlineStr">
        <is>
          <t>广告ROI(商家)</t>
        </is>
      </c>
      <c r="C26" s="61" t="inlineStr">
        <is>
          <t>第三方监测</t>
        </is>
      </c>
      <c r="D26" s="20" t="inlineStr">
        <is>
          <t>≥7倍</t>
        </is>
      </c>
      <c r="E26" s="20" t="inlineStr">
        <is>
          <t>&lt;6倍</t>
        </is>
      </c>
      <c r="F26" s="61" t="inlineStr">
        <is>
          <t>商业化</t>
        </is>
      </c>
    </row>
    <row r="27">
      <c r="A27" s="28" t="n">
        <v>8</v>
      </c>
      <c r="B27" s="61" t="inlineStr">
        <is>
          <t>88VIP数</t>
        </is>
      </c>
      <c r="C27" s="61" t="inlineStr">
        <is>
          <t>月末时点</t>
        </is>
      </c>
      <c r="D27" s="20" t="inlineStr">
        <is>
          <t>+10%</t>
        </is>
      </c>
      <c r="E27" s="20" t="inlineStr">
        <is>
          <t>&lt;+5%</t>
        </is>
      </c>
      <c r="F27" s="61" t="inlineStr">
        <is>
          <t>会员</t>
        </is>
      </c>
    </row>
    <row r="28">
      <c r="A28" s="28" t="n">
        <v>9</v>
      </c>
      <c r="B28" s="61" t="inlineStr">
        <is>
          <t>直播GMV占比</t>
        </is>
      </c>
      <c r="C28" s="61" t="inlineStr">
        <is>
          <t>季度</t>
        </is>
      </c>
      <c r="D28" s="20" t="inlineStr">
        <is>
          <t>+2pct/年</t>
        </is>
      </c>
      <c r="E28" s="20" t="inlineStr">
        <is>
          <t>&lt;+1pct</t>
        </is>
      </c>
      <c r="F28" s="61" t="inlineStr">
        <is>
          <t>内容</t>
        </is>
      </c>
    </row>
    <row r="29">
      <c r="A29" s="52" t="n">
        <v>10</v>
      </c>
      <c r="B29" s="22" t="inlineStr">
        <is>
          <t>分部经营利润率</t>
        </is>
      </c>
      <c r="C29" s="22" t="inlineStr">
        <is>
          <t>分部利润/收入</t>
        </is>
      </c>
      <c r="D29" s="24" t="inlineStr">
        <is>
          <t>≥43%</t>
        </is>
      </c>
      <c r="E29" s="53" t="inlineStr">
        <is>
          <t>&lt;41%</t>
        </is>
      </c>
      <c r="F29" s="22" t="inlineStr">
        <is>
          <t>CFO+BP</t>
        </is>
      </c>
    </row>
    <row r="30">
      <c r="A30" s="28" t="n">
        <v>11</v>
      </c>
      <c r="B30" s="61" t="inlineStr">
        <is>
          <t>运营费用率</t>
        </is>
      </c>
      <c r="C30" s="61" t="inlineStr">
        <is>
          <t>(销+管+研)/收入</t>
        </is>
      </c>
      <c r="D30" s="20" t="inlineStr">
        <is>
          <t>≤22%</t>
        </is>
      </c>
      <c r="E30" s="20" t="inlineStr">
        <is>
          <t>&gt;24%</t>
        </is>
      </c>
      <c r="F30" s="61" t="inlineStr">
        <is>
          <t>CFO+BP</t>
        </is>
      </c>
    </row>
    <row r="31">
      <c r="A31" s="28" t="n">
        <v>12</v>
      </c>
      <c r="B31" s="61" t="inlineStr">
        <is>
          <t>自由现金流</t>
        </is>
      </c>
      <c r="C31" s="61" t="inlineStr">
        <is>
          <t>季度披露</t>
        </is>
      </c>
      <c r="D31" s="20" t="inlineStr">
        <is>
          <t>&gt;800亿/季</t>
        </is>
      </c>
      <c r="E31" s="20" t="inlineStr">
        <is>
          <t>&lt;700亿</t>
        </is>
      </c>
      <c r="F31" s="61" t="inlineStr">
        <is>
          <t>财务部</t>
        </is>
      </c>
    </row>
  </sheetData>
  <mergeCells count="4">
    <mergeCell ref="A2:F2"/>
    <mergeCell ref="A11:F11"/>
    <mergeCell ref="A1:F1"/>
    <mergeCell ref="A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2" customWidth="1" style="56" min="1" max="1"/>
    <col width="32" customWidth="1" style="56" min="2" max="2"/>
    <col width="38" customWidth="1" style="56" min="3" max="3"/>
    <col width="14" customWidth="1" style="56" min="4" max="4"/>
  </cols>
  <sheetData>
    <row r="1" ht="36" customHeight="1" s="56">
      <c r="A1" s="58" t="inlineStr">
        <is>
          <t>口径声明 + 关键估算假设</t>
        </is>
      </c>
    </row>
    <row r="2" ht="22" customHeight="1" s="56">
      <c r="A2" s="57" t="inlineStr">
        <is>
          <t>本表是 Word 报告附录 A 的完整版</t>
        </is>
      </c>
    </row>
    <row r="4" ht="14.5" customHeight="1" s="56">
      <c r="A4" s="10" t="inlineStr">
        <is>
          <t>类别</t>
        </is>
      </c>
      <c r="B4" s="10" t="inlineStr">
        <is>
          <t>口径 / 假设</t>
        </is>
      </c>
      <c r="C4" s="10" t="inlineStr">
        <is>
          <t>依据 / 解释</t>
        </is>
      </c>
      <c r="D4" s="10" t="inlineStr">
        <is>
          <t>敏感性区间</t>
        </is>
      </c>
    </row>
    <row r="5">
      <c r="A5" s="26" t="inlineStr">
        <is>
          <t>时间口径</t>
        </is>
      </c>
      <c r="B5" s="61" t="inlineStr">
        <is>
          <t>FY23/24/25</t>
        </is>
      </c>
      <c r="C5" s="61" t="inlineStr">
        <is>
          <t>阿里财年截至 3 月，FY25 = 2024.4–2025.3</t>
        </is>
      </c>
      <c r="D5" s="28" t="inlineStr">
        <is>
          <t>—</t>
        </is>
      </c>
    </row>
    <row r="6">
      <c r="A6" s="26" t="inlineStr">
        <is>
          <t>货币</t>
        </is>
      </c>
      <c r="B6" s="61" t="inlineStr">
        <is>
          <t>人民币亿元</t>
        </is>
      </c>
      <c r="C6" s="61" t="inlineStr">
        <is>
          <t>所有金额若无特别说明均为 RMB 亿元</t>
        </is>
      </c>
      <c r="D6" s="28" t="inlineStr">
        <is>
          <t>—</t>
        </is>
      </c>
    </row>
    <row r="7">
      <c r="A7" s="26" t="inlineStr">
        <is>
          <t>可比口径</t>
        </is>
      </c>
      <c r="B7" s="61" t="inlineStr">
        <is>
          <t>淘天 vs PDD主站 vs JD零售</t>
        </is>
      </c>
      <c r="C7" s="61" t="inlineStr">
        <is>
          <t>已剔除 Temu / 京东物流 / 海外 / 菜鸟</t>
        </is>
      </c>
      <c r="D7" s="28" t="inlineStr">
        <is>
          <t>—</t>
        </is>
      </c>
    </row>
    <row r="8" ht="26" customHeight="1" s="56">
      <c r="A8" s="26" t="inlineStr">
        <is>
          <t>会计准则</t>
        </is>
      </c>
      <c r="B8" s="61" t="inlineStr">
        <is>
          <t>IFRS（淘天/JD）；US GAAP（PDD）</t>
        </is>
      </c>
      <c r="C8" s="61" t="inlineStr">
        <is>
          <t>SBC 处理与租赁分类有差异，毛利口径基本一致</t>
        </is>
      </c>
      <c r="D8" s="28" t="inlineStr">
        <is>
          <t>—</t>
        </is>
      </c>
    </row>
    <row r="9">
      <c r="A9" s="26" t="inlineStr">
        <is>
          <t>淘天 GMV ●</t>
        </is>
      </c>
      <c r="B9" s="61" t="inlineStr">
        <is>
          <t>年报披露</t>
        </is>
      </c>
      <c r="C9" s="61" t="inlineStr">
        <is>
          <t>阿里 2022 起不单独披露季度 GMV，年度披露</t>
        </is>
      </c>
      <c r="D9" s="28" t="inlineStr">
        <is>
          <t>—</t>
        </is>
      </c>
    </row>
    <row r="10" ht="26" customHeight="1" s="56">
      <c r="A10" s="26" t="inlineStr">
        <is>
          <t>PDD 主站 GMV ⚠</t>
        </is>
      </c>
      <c r="B10" s="61" t="inlineStr">
        <is>
          <t>研报中位数</t>
        </is>
      </c>
      <c r="C10" s="61" t="inlineStr">
        <is>
          <t>高盛/中金/MS：2022 2.8 / 2023 4.1 / 2024 5.3 万亿</t>
        </is>
      </c>
      <c r="D10" s="28" t="inlineStr">
        <is>
          <t>±5%（5.0–5.6）</t>
        </is>
      </c>
    </row>
    <row r="11">
      <c r="A11" s="26" t="inlineStr">
        <is>
          <t>JD 零售 GMV ⚠</t>
        </is>
      </c>
      <c r="B11" s="61" t="inlineStr">
        <is>
          <t>倒推估算</t>
        </is>
      </c>
      <c r="C11" s="61" t="inlineStr">
        <is>
          <t>JD 2022 起不再披露，按 GMV/收入 ≈ 2.9 倒推</t>
        </is>
      </c>
      <c r="D11" s="28" t="inlineStr">
        <is>
          <t>±5%</t>
        </is>
      </c>
    </row>
    <row r="12">
      <c r="A12" s="26" t="inlineStr">
        <is>
          <t>淘天 AAC ⚠</t>
        </is>
      </c>
      <c r="B12" s="61" t="inlineStr">
        <is>
          <t>研报估算</t>
        </is>
      </c>
      <c r="C12" s="61" t="inlineStr">
        <is>
          <t>阿里 2022Q4 起不单独披露 AAC</t>
        </is>
      </c>
      <c r="D12" s="28" t="inlineStr">
        <is>
          <t>±3%</t>
        </is>
      </c>
    </row>
    <row r="13">
      <c r="A13" s="26" t="inlineStr">
        <is>
          <t>PDD 主站 AAC ⚠</t>
        </is>
      </c>
      <c r="B13" s="61" t="inlineStr">
        <is>
          <t>近似总 AAC</t>
        </is>
      </c>
      <c r="C13" s="61" t="inlineStr">
        <is>
          <t>Temu 不开账户，主站和 Temu 共用账户体系</t>
        </is>
      </c>
      <c r="D13" s="28" t="inlineStr">
        <is>
          <t>—</t>
        </is>
      </c>
    </row>
    <row r="14">
      <c r="A14" s="26" t="inlineStr">
        <is>
          <t>CMR 拆分 ⚠</t>
        </is>
      </c>
      <c r="B14" s="61" t="inlineStr">
        <is>
          <t>广告:佣金 = 72:28 → 68:32 → 64:36</t>
        </is>
      </c>
      <c r="C14" s="61" t="inlineStr">
        <is>
          <t>FY23/24/25 比例逐年变化（用户更新数据）</t>
        </is>
      </c>
      <c r="D14" s="28" t="inlineStr">
        <is>
          <t>±2%</t>
        </is>
      </c>
    </row>
    <row r="15">
      <c r="A15" s="26" t="inlineStr">
        <is>
          <t>CMR Take Rate</t>
        </is>
      </c>
      <c r="B15" s="61">
        <f>CMR / GMV</f>
        <v/>
      </c>
      <c r="C15" s="61" t="inlineStr">
        <is>
          <t>最纯粹的"广告变现率"</t>
        </is>
      </c>
      <c r="D15" s="28" t="inlineStr">
        <is>
          <t>—</t>
        </is>
      </c>
    </row>
    <row r="16">
      <c r="A16" s="26" t="inlineStr">
        <is>
          <t>综合 Take Rate</t>
        </is>
      </c>
      <c r="B16" s="61">
        <f>分部收入 / GMV</f>
        <v/>
      </c>
      <c r="C16" s="61" t="inlineStr">
        <is>
          <t>含直营/广告/佣金</t>
        </is>
      </c>
      <c r="D16" s="28" t="inlineStr">
        <is>
          <t>—</t>
        </is>
      </c>
    </row>
    <row r="17">
      <c r="A17" s="26" t="inlineStr">
        <is>
          <t>CMR 利润率 ⚠</t>
        </is>
      </c>
      <c r="B17" s="61" t="inlineStr">
        <is>
          <t>FY25 综合 43.6%（三年 -2.2pct）</t>
        </is>
      </c>
      <c r="C17" s="61" t="inlineStr">
        <is>
          <t>佣金占比上升压制毛利率</t>
        </is>
      </c>
      <c r="D17" s="28" t="inlineStr">
        <is>
          <t>±1pct</t>
        </is>
      </c>
    </row>
    <row r="18">
      <c r="A18" s="26" t="inlineStr">
        <is>
          <t>直营利润率 ⚠</t>
        </is>
      </c>
      <c r="B18" s="61" t="inlineStr">
        <is>
          <t>+2.5%~-2.2%</t>
        </is>
      </c>
      <c r="C18" s="61" t="inlineStr">
        <is>
          <t>自营业务低毛利且 FY25 亏损</t>
        </is>
      </c>
      <c r="D18" s="28" t="inlineStr">
        <is>
          <t>±1pct</t>
        </is>
      </c>
    </row>
    <row r="19" ht="26" customHeight="1" s="56">
      <c r="A19" s="26" t="inlineStr">
        <is>
          <t>FY26 基准情景</t>
        </is>
      </c>
      <c r="B19" s="61" t="inlineStr">
        <is>
          <t>AAC YoY -3%, ARPU YoY +2%, Take Rate 4.20%</t>
        </is>
      </c>
      <c r="C19" s="61" t="inlineStr">
        <is>
          <t>维持 FY25 趋势小幅放缓</t>
        </is>
      </c>
      <c r="D19" s="28" t="inlineStr">
        <is>
          <t>见 Sheet 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14" customWidth="1" style="56" min="1" max="1"/>
    <col width="24" customWidth="1" style="56" min="2" max="2"/>
    <col width="38" customWidth="1" style="56" min="3" max="3"/>
    <col width="32" customWidth="1" style="56" min="4" max="4"/>
  </cols>
  <sheetData>
    <row r="1" ht="36" customHeight="1" s="56">
      <c r="A1" s="58" t="inlineStr">
        <is>
          <t>数据源 + 在哪一节查找</t>
        </is>
      </c>
    </row>
    <row r="2" ht="22" customHeight="1" s="56">
      <c r="A2" s="57" t="inlineStr">
        <is>
          <t>本表是 Word 报告附录 B 的完整版</t>
        </is>
      </c>
    </row>
    <row r="4" ht="14.5" customHeight="1" s="56">
      <c r="A4" s="10" t="inlineStr">
        <is>
          <t>类别</t>
        </is>
      </c>
      <c r="B4" s="10" t="inlineStr">
        <is>
          <t>来源</t>
        </is>
      </c>
      <c r="C4" s="10" t="inlineStr">
        <is>
          <t>URL</t>
        </is>
      </c>
      <c r="D4" s="10" t="inlineStr">
        <is>
          <t>查找路径</t>
        </is>
      </c>
    </row>
    <row r="5">
      <c r="A5" s="26" t="inlineStr">
        <is>
          <t>淘天财务</t>
        </is>
      </c>
      <c r="B5" s="61" t="inlineStr">
        <is>
          <t>阿里 IR 官网</t>
        </is>
      </c>
      <c r="C5" s="54" t="inlineStr">
        <is>
          <t>https://www.alibabagroup.com/en-US/ir</t>
        </is>
      </c>
      <c r="D5" s="61" t="inlineStr">
        <is>
          <t>Reports → FY25 Annual Report</t>
        </is>
      </c>
    </row>
    <row r="6">
      <c r="A6" s="26" t="inlineStr">
        <is>
          <t>淘天分部</t>
        </is>
      </c>
      <c r="B6" s="61" t="inlineStr">
        <is>
          <t>港交所披露易（9988）</t>
        </is>
      </c>
      <c r="C6" s="54" t="inlineStr">
        <is>
          <t>https://www1.hkexnews.hk/</t>
        </is>
      </c>
      <c r="D6" s="61" t="inlineStr">
        <is>
          <t>搜 9988 → 2024/2025 年度业绩公告</t>
        </is>
      </c>
    </row>
    <row r="7">
      <c r="A7" s="26" t="inlineStr">
        <is>
          <t>淘天 KPI 电话会</t>
        </is>
      </c>
      <c r="B7" s="61" t="inlineStr">
        <is>
          <t>阿里 IR 官网</t>
        </is>
      </c>
      <c r="C7" s="54" t="inlineStr">
        <is>
          <t>https://www.alibabagroup.com/en-US/ir</t>
        </is>
      </c>
      <c r="D7" s="61" t="inlineStr">
        <is>
          <t>Quarterly Results → Earnings</t>
        </is>
      </c>
    </row>
    <row r="8">
      <c r="A8" s="26" t="inlineStr">
        <is>
          <t>行业大盘</t>
        </is>
      </c>
      <c r="B8" s="61" t="inlineStr">
        <is>
          <t>国家统计局</t>
        </is>
      </c>
      <c r="C8" s="54" t="inlineStr">
        <is>
          <t>http://www.stats.gov.cn/</t>
        </is>
      </c>
      <c r="D8" s="61" t="inlineStr">
        <is>
          <t>商品零售统计 → 网上零售额</t>
        </is>
      </c>
    </row>
    <row r="9">
      <c r="A9" s="26" t="inlineStr">
        <is>
          <t>行业大盘</t>
        </is>
      </c>
      <c r="B9" s="61" t="inlineStr">
        <is>
          <t>商务部电子商务研究中心</t>
        </is>
      </c>
      <c r="C9" s="54" t="inlineStr">
        <is>
          <t>http://www.100ec.cn/</t>
        </is>
      </c>
      <c r="D9" s="61" t="inlineStr">
        <is>
          <t>电子商务发展报告</t>
        </is>
      </c>
    </row>
    <row r="10">
      <c r="A10" s="26" t="inlineStr">
        <is>
          <t>行业大盘</t>
        </is>
      </c>
      <c r="B10" s="61" t="inlineStr">
        <is>
          <t>艾瑞咨询</t>
        </is>
      </c>
      <c r="C10" s="54" t="inlineStr">
        <is>
          <t>https://www.iresearch.com.cn/</t>
        </is>
      </c>
      <c r="D10" s="61" t="inlineStr">
        <is>
          <t>电商行业季报</t>
        </is>
      </c>
    </row>
    <row r="11">
      <c r="A11" s="26" t="inlineStr">
        <is>
          <t>行业大盘</t>
        </is>
      </c>
      <c r="B11" s="61" t="inlineStr">
        <is>
          <t>QuestMobile</t>
        </is>
      </c>
      <c r="C11" s="54" t="inlineStr">
        <is>
          <t>https://www.questmobile.com.cn/</t>
        </is>
      </c>
      <c r="D11" s="61" t="inlineStr">
        <is>
          <t>移动互联网发展报告</t>
        </is>
      </c>
    </row>
    <row r="12">
      <c r="A12" s="26" t="inlineStr">
        <is>
          <t>PDD 财务</t>
        </is>
      </c>
      <c r="B12" s="61" t="inlineStr">
        <is>
          <t>PDD IR</t>
        </is>
      </c>
      <c r="C12" s="54" t="inlineStr">
        <is>
          <t>https://investor.pddholdings.com/</t>
        </is>
      </c>
      <c r="D12" s="61" t="inlineStr">
        <is>
          <t>Financial Information</t>
        </is>
      </c>
    </row>
    <row r="13">
      <c r="A13" s="26" t="inlineStr">
        <is>
          <t>PDD SEC</t>
        </is>
      </c>
      <c r="B13" s="61" t="inlineStr">
        <is>
          <t>EDGAR</t>
        </is>
      </c>
      <c r="C13" s="54" t="inlineStr">
        <is>
          <t>https://www.sec.gov/cgi-bin/browse-edgar</t>
        </is>
      </c>
      <c r="D13" s="61" t="inlineStr">
        <is>
          <t>20-F</t>
        </is>
      </c>
    </row>
    <row r="14">
      <c r="A14" s="26" t="inlineStr">
        <is>
          <t>PDD 主站估算</t>
        </is>
      </c>
      <c r="B14" s="61" t="inlineStr">
        <is>
          <t>券商研报</t>
        </is>
      </c>
      <c r="C14" s="54" t="inlineStr">
        <is>
          <t>—</t>
        </is>
      </c>
      <c r="D14" s="61" t="inlineStr">
        <is>
          <t>搜"拼多多 deep dive" - 慧博/远瞻</t>
        </is>
      </c>
    </row>
    <row r="15">
      <c r="A15" s="26" t="inlineStr">
        <is>
          <t>JD 财务</t>
        </is>
      </c>
      <c r="B15" s="61" t="inlineStr">
        <is>
          <t>京东 IR</t>
        </is>
      </c>
      <c r="C15" s="54" t="inlineStr">
        <is>
          <t>https://ir.jd.com/</t>
        </is>
      </c>
      <c r="D15" s="61" t="inlineStr">
        <is>
          <t>财报 → 按分部经营</t>
        </is>
      </c>
    </row>
    <row r="16">
      <c r="A16" s="26" t="inlineStr">
        <is>
          <t>JD 港股</t>
        </is>
      </c>
      <c r="B16" s="61" t="inlineStr">
        <is>
          <t>港交所披露易（9618）</t>
        </is>
      </c>
      <c r="C16" s="54" t="inlineStr">
        <is>
          <t>https://www1.hkexnews.hk/</t>
        </is>
      </c>
      <c r="D16" s="61" t="inlineStr">
        <is>
          <t>搜 9618</t>
        </is>
      </c>
    </row>
    <row r="17">
      <c r="A17" s="26" t="inlineStr">
        <is>
          <t>抖音电商</t>
        </is>
      </c>
      <c r="B17" s="61" t="inlineStr">
        <is>
          <t>券商深度报告</t>
        </is>
      </c>
      <c r="C17" s="54" t="inlineStr">
        <is>
          <t>—</t>
        </is>
      </c>
      <c r="D17" s="61" t="inlineStr">
        <is>
          <t>字节估值报告</t>
        </is>
      </c>
    </row>
    <row r="18">
      <c r="A18" s="26" t="inlineStr">
        <is>
          <t>综合</t>
        </is>
      </c>
      <c r="B18" s="61" t="inlineStr">
        <is>
          <t>雪球</t>
        </is>
      </c>
      <c r="C18" s="54" t="inlineStr">
        <is>
          <t>https://xueqiu.com/</t>
        </is>
      </c>
      <c r="D18" s="61" t="inlineStr">
        <is>
          <t>F10 → 财务数据</t>
        </is>
      </c>
    </row>
    <row r="19">
      <c r="A19" s="26" t="inlineStr">
        <is>
          <t>综合</t>
        </is>
      </c>
      <c r="B19" s="61" t="inlineStr">
        <is>
          <t>Macrotrends</t>
        </is>
      </c>
      <c r="C19" s="54" t="inlineStr">
        <is>
          <t>https://www.macrotrends.net/</t>
        </is>
      </c>
      <c r="D19" s="61" t="inlineStr">
        <is>
          <t>10 年财务数据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8" r:id="rId12"/>
    <hyperlink xmlns:r="http://schemas.openxmlformats.org/officeDocument/2006/relationships" ref="C19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2026-05-31T11:16:41Z</dcterms:created>
  <dcterms:modified xmlns:dcterms="http://purl.org/dc/terms/" xmlns:xsi="http://www.w3.org/2001/XMLSchema-instance" xsi:type="dcterms:W3CDTF">2026-06-07T16:54:53Z</dcterms:modified>
  <cp:lastModifiedBy>静 王</cp:lastModifiedBy>
</cp:coreProperties>
</file>